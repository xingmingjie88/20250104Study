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资源\AAA项目论文\小论文\Paper1\Python\1SDC_Model\"/>
    </mc:Choice>
  </mc:AlternateContent>
  <xr:revisionPtr revIDLastSave="0" documentId="13_ncr:1_{C465F405-3668-4E9A-8028-FFD61A7D9D10}" xr6:coauthVersionLast="47" xr6:coauthVersionMax="47" xr10:uidLastSave="{00000000-0000-0000-0000-000000000000}"/>
  <bookViews>
    <workbookView xWindow="7208" yWindow="0" windowWidth="21592" windowHeight="11265" xr2:uid="{1D30D84D-880B-4002-8530-BBED9C0F9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2" i="1"/>
</calcChain>
</file>

<file path=xl/sharedStrings.xml><?xml version="1.0" encoding="utf-8"?>
<sst xmlns="http://schemas.openxmlformats.org/spreadsheetml/2006/main" count="8" uniqueCount="8">
  <si>
    <t>point</t>
    <phoneticPr fontId="1" type="noConversion"/>
  </si>
  <si>
    <t>SMC</t>
    <phoneticPr fontId="1" type="noConversion"/>
  </si>
  <si>
    <t>SDC</t>
    <phoneticPr fontId="1" type="noConversion"/>
  </si>
  <si>
    <t>容重</t>
    <phoneticPr fontId="1" type="noConversion"/>
  </si>
  <si>
    <t>孔隙度</t>
    <phoneticPr fontId="1" type="noConversion"/>
  </si>
  <si>
    <t>TOPP</t>
    <phoneticPr fontId="1" type="noConversion"/>
  </si>
  <si>
    <t>Modified Topp</t>
    <phoneticPr fontId="1" type="noConversion"/>
  </si>
  <si>
    <t xml:space="preserve">Herkelrath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</si>
</sst>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0F1115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C2D7-6941-404A-B753-77ADBD8B7316}">
  <dimension ref="A1:H126"/>
  <sheetViews>
    <sheetView tabSelected="1" workbookViewId="0">
      <selection sqref="A1:H4"/>
    </sheetView>
  </sheetViews>
  <sheetFormatPr defaultRowHeight="15" x14ac:dyDescent="0.4"/>
  <cols>
    <col min="6" max="6" width="9.06640625" style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2" spans="1:8" x14ac:dyDescent="0.4">
      <c r="A2">
        <v>1</v>
      </c>
      <c r="B2">
        <v>0.28474330006710685</v>
      </c>
      <c r="C2">
        <v>14.923673997412678</v>
      </c>
      <c r="D2">
        <v>1.3715305836492795</v>
      </c>
      <c r="E2">
        <f>1-D2/2.65</f>
        <v>0.48244128918895113</v>
      </c>
      <c r="F2" s="2">
        <f>-0.053 + 0.0292*C2 - 0.00055*C2^2 + 0.0000043*C2^3</f>
        <v>0.27456954478532336</v>
      </c>
      <c r="G2">
        <f>0.0199968328989142 + 0.0233141416204949*C2 + (-0.000359778949756549)*(C2^2) + 1.91168311807627E-06*(C2^3)</f>
        <v>0.29415487781652117</v>
      </c>
      <c r="H2">
        <f>0.085808537930808 + 0.0622837910327148*SQRT(C2)</f>
        <v>0.32641811829142364</v>
      </c>
    </row>
    <row r="3" spans="1:8" x14ac:dyDescent="0.4">
      <c r="A3">
        <v>2</v>
      </c>
      <c r="B3">
        <v>0.28931474629442572</v>
      </c>
      <c r="C3">
        <v>15.326259946949602</v>
      </c>
      <c r="D3">
        <v>1.4754842615012107</v>
      </c>
      <c r="E3">
        <f t="shared" ref="E3:E66" si="0">1-D3/2.65</f>
        <v>0.44321348622595824</v>
      </c>
      <c r="F3" s="2">
        <f t="shared" ref="F3:F66" si="1">-0.053 + 0.0292*C3 - 0.00055*C3^2 + 0.0000043*C3^3</f>
        <v>0.28081517231700054</v>
      </c>
      <c r="G3">
        <f t="shared" ref="G3:G66" si="2">0.0199968328989142 + 0.0233141416204949*C3 + (-0.000359778949756549)*(C3^2) + 1.91168311807627E-06*(C3^3)</f>
        <v>0.29968757869206031</v>
      </c>
      <c r="H3">
        <f t="shared" ref="H3:H66" si="3">0.085808537930808 + 0.0622837910327148*SQRT(C3)</f>
        <v>0.32964190318165237</v>
      </c>
    </row>
    <row r="4" spans="1:8" x14ac:dyDescent="0.4">
      <c r="A4">
        <v>3</v>
      </c>
      <c r="B4">
        <v>0.3007082836650633</v>
      </c>
      <c r="C4">
        <v>16.130674002751032</v>
      </c>
      <c r="D4">
        <v>1.6201173146631211</v>
      </c>
      <c r="E4">
        <f t="shared" si="0"/>
        <v>0.38863497559882221</v>
      </c>
      <c r="F4" s="2">
        <f t="shared" si="1"/>
        <v>0.29295429864459915</v>
      </c>
      <c r="G4">
        <f t="shared" si="2"/>
        <v>0.31047933343618461</v>
      </c>
      <c r="H4">
        <f t="shared" si="3"/>
        <v>0.33595899231153981</v>
      </c>
    </row>
    <row r="5" spans="1:8" x14ac:dyDescent="0.4">
      <c r="A5">
        <v>4</v>
      </c>
      <c r="B5">
        <v>0.30984336337132617</v>
      </c>
      <c r="C5">
        <v>17.604687499999997</v>
      </c>
      <c r="D5">
        <v>1.1312774354017492</v>
      </c>
      <c r="E5">
        <f t="shared" si="0"/>
        <v>0.57310285456537757</v>
      </c>
      <c r="F5" s="2">
        <f t="shared" si="1"/>
        <v>0.3140594855041538</v>
      </c>
      <c r="G5">
        <f t="shared" si="2"/>
        <v>0.32936090920231653</v>
      </c>
      <c r="H5">
        <f t="shared" si="3"/>
        <v>0.34713849619854614</v>
      </c>
    </row>
    <row r="6" spans="1:8" x14ac:dyDescent="0.4">
      <c r="A6">
        <v>5</v>
      </c>
      <c r="B6">
        <v>0.41800869458084694</v>
      </c>
      <c r="C6">
        <v>24.506787330316744</v>
      </c>
      <c r="D6">
        <v>1.5447445638056361</v>
      </c>
      <c r="E6">
        <f t="shared" si="0"/>
        <v>0.4170775230922128</v>
      </c>
      <c r="F6" s="2">
        <f t="shared" si="1"/>
        <v>0.39556665404277486</v>
      </c>
      <c r="G6">
        <f t="shared" si="2"/>
        <v>0.40341137972995939</v>
      </c>
      <c r="H6">
        <f t="shared" si="3"/>
        <v>0.39414027520997841</v>
      </c>
    </row>
    <row r="7" spans="1:8" x14ac:dyDescent="0.4">
      <c r="A7">
        <v>6</v>
      </c>
      <c r="B7">
        <v>0.43092370034181482</v>
      </c>
      <c r="C7">
        <v>26.320276497695854</v>
      </c>
      <c r="D7">
        <v>1.3229780235309685</v>
      </c>
      <c r="E7">
        <f t="shared" si="0"/>
        <v>0.5007630099883138</v>
      </c>
      <c r="F7" s="2">
        <f t="shared" si="1"/>
        <v>0.41294003330537654</v>
      </c>
      <c r="G7">
        <f t="shared" si="2"/>
        <v>0.41924889549041922</v>
      </c>
      <c r="H7">
        <f t="shared" si="3"/>
        <v>0.40534488245220779</v>
      </c>
    </row>
    <row r="8" spans="1:8" x14ac:dyDescent="0.4">
      <c r="A8">
        <v>7</v>
      </c>
      <c r="B8">
        <v>0.42101137649286807</v>
      </c>
      <c r="C8">
        <v>24.65237020316027</v>
      </c>
      <c r="D8">
        <v>1.4742317823311815</v>
      </c>
      <c r="E8">
        <f t="shared" si="0"/>
        <v>0.44368611987502582</v>
      </c>
      <c r="F8" s="2">
        <f t="shared" si="1"/>
        <v>0.39701609089284762</v>
      </c>
      <c r="G8">
        <f t="shared" si="2"/>
        <v>0.40473510428770942</v>
      </c>
      <c r="H8">
        <f t="shared" si="3"/>
        <v>0.39505474336553215</v>
      </c>
    </row>
    <row r="9" spans="1:8" x14ac:dyDescent="0.4">
      <c r="A9">
        <v>8</v>
      </c>
      <c r="B9">
        <v>0.29355047035817661</v>
      </c>
      <c r="C9">
        <v>16.121253405994551</v>
      </c>
      <c r="D9">
        <v>1.406261564651025</v>
      </c>
      <c r="E9">
        <f t="shared" si="0"/>
        <v>0.46933525862225467</v>
      </c>
      <c r="F9" s="2">
        <f t="shared" si="1"/>
        <v>0.29281472268248965</v>
      </c>
      <c r="G9">
        <f t="shared" si="2"/>
        <v>0.31035496311552419</v>
      </c>
      <c r="H9">
        <f t="shared" si="3"/>
        <v>0.33588593551526658</v>
      </c>
    </row>
    <row r="10" spans="1:8" x14ac:dyDescent="0.4">
      <c r="A10">
        <v>9</v>
      </c>
      <c r="B10">
        <v>0.26224776533116312</v>
      </c>
      <c r="C10">
        <v>8.8529182879377437</v>
      </c>
      <c r="D10">
        <v>1.7061418150985423</v>
      </c>
      <c r="E10">
        <f t="shared" si="0"/>
        <v>0.3561728999628142</v>
      </c>
      <c r="F10" s="2">
        <f t="shared" si="1"/>
        <v>0.16538293702269824</v>
      </c>
      <c r="G10">
        <f t="shared" si="2"/>
        <v>0.19952405216735009</v>
      </c>
      <c r="H10">
        <f t="shared" si="3"/>
        <v>0.27112682052463166</v>
      </c>
    </row>
    <row r="11" spans="1:8" x14ac:dyDescent="0.4">
      <c r="A11">
        <v>10</v>
      </c>
      <c r="B11">
        <v>0.37639047326759018</v>
      </c>
      <c r="C11">
        <v>22.528925619834713</v>
      </c>
      <c r="D11">
        <v>1.5418132031631839</v>
      </c>
      <c r="E11">
        <f t="shared" si="0"/>
        <v>0.41818369691955326</v>
      </c>
      <c r="F11" s="2">
        <f t="shared" si="1"/>
        <v>0.37485959165775268</v>
      </c>
      <c r="G11">
        <f t="shared" si="2"/>
        <v>0.38449204897736233</v>
      </c>
      <c r="H11">
        <f t="shared" si="3"/>
        <v>0.38143634342109234</v>
      </c>
    </row>
    <row r="12" spans="1:8" x14ac:dyDescent="0.4">
      <c r="A12">
        <v>11</v>
      </c>
      <c r="B12">
        <v>0.37698977511405857</v>
      </c>
      <c r="C12">
        <v>22.693609022556391</v>
      </c>
      <c r="D12">
        <v>1.1168772400594322</v>
      </c>
      <c r="E12">
        <f t="shared" si="0"/>
        <v>0.57853689054361046</v>
      </c>
      <c r="F12" s="2">
        <f t="shared" si="1"/>
        <v>0.37665843019299394</v>
      </c>
      <c r="G12">
        <f t="shared" si="2"/>
        <v>0.38613496252875962</v>
      </c>
      <c r="H12">
        <f t="shared" si="3"/>
        <v>0.38251487568865172</v>
      </c>
    </row>
    <row r="13" spans="1:8" x14ac:dyDescent="0.4">
      <c r="A13">
        <v>12</v>
      </c>
      <c r="B13">
        <v>0.50353081913783271</v>
      </c>
      <c r="C13">
        <v>42.928853754940711</v>
      </c>
      <c r="D13">
        <v>1.3719737425332965</v>
      </c>
      <c r="E13">
        <f t="shared" si="0"/>
        <v>0.48227405942139756</v>
      </c>
      <c r="F13" s="2">
        <f t="shared" si="1"/>
        <v>0.52712088192565176</v>
      </c>
      <c r="G13">
        <f t="shared" si="2"/>
        <v>0.50905343986764007</v>
      </c>
      <c r="H13">
        <f t="shared" si="3"/>
        <v>0.4938926485672423</v>
      </c>
    </row>
    <row r="14" spans="1:8" x14ac:dyDescent="0.4">
      <c r="A14">
        <v>13</v>
      </c>
      <c r="B14">
        <v>0.26393501467478681</v>
      </c>
      <c r="C14">
        <v>11.157041540020264</v>
      </c>
      <c r="D14">
        <v>1.3898501629213245</v>
      </c>
      <c r="E14">
        <f t="shared" si="0"/>
        <v>0.47552824040704733</v>
      </c>
      <c r="F14" s="2">
        <f t="shared" si="1"/>
        <v>0.21029378854723246</v>
      </c>
      <c r="G14">
        <f t="shared" si="2"/>
        <v>0.23798353934745151</v>
      </c>
      <c r="H14">
        <f t="shared" si="3"/>
        <v>0.29384984035089234</v>
      </c>
    </row>
    <row r="15" spans="1:8" x14ac:dyDescent="0.4">
      <c r="A15">
        <v>14</v>
      </c>
      <c r="B15">
        <v>0.30392981247530537</v>
      </c>
      <c r="C15">
        <v>17.124213836477988</v>
      </c>
      <c r="D15">
        <v>1.1221204409273262</v>
      </c>
      <c r="E15">
        <f t="shared" si="0"/>
        <v>0.57655832417836739</v>
      </c>
      <c r="F15" s="2">
        <f t="shared" si="1"/>
        <v>0.30733813273194249</v>
      </c>
      <c r="G15">
        <f t="shared" si="2"/>
        <v>0.32333155082302251</v>
      </c>
      <c r="H15">
        <f t="shared" si="3"/>
        <v>0.34354766906738027</v>
      </c>
    </row>
    <row r="16" spans="1:8" x14ac:dyDescent="0.4">
      <c r="A16">
        <v>15</v>
      </c>
      <c r="B16">
        <v>0.33291657110728051</v>
      </c>
      <c r="C16">
        <v>18.800986842105264</v>
      </c>
      <c r="D16">
        <v>1.0582521098901438</v>
      </c>
      <c r="E16">
        <f t="shared" si="0"/>
        <v>0.60065958117353069</v>
      </c>
      <c r="F16" s="2">
        <f t="shared" si="1"/>
        <v>0.33015299657950981</v>
      </c>
      <c r="G16">
        <f t="shared" si="2"/>
        <v>0.34385658841328198</v>
      </c>
      <c r="H16">
        <f t="shared" si="3"/>
        <v>0.35587170829144843</v>
      </c>
    </row>
    <row r="17" spans="1:8" x14ac:dyDescent="0.4">
      <c r="A17">
        <v>16</v>
      </c>
      <c r="B17">
        <v>0.35668773286034422</v>
      </c>
      <c r="C17">
        <v>21.426070038910506</v>
      </c>
      <c r="D17">
        <v>1.3407676588347346</v>
      </c>
      <c r="E17">
        <f t="shared" si="0"/>
        <v>0.49404994006236425</v>
      </c>
      <c r="F17" s="2">
        <f t="shared" si="1"/>
        <v>0.36244486306569396</v>
      </c>
      <c r="G17">
        <f t="shared" si="2"/>
        <v>0.37316491786955769</v>
      </c>
      <c r="H17">
        <f t="shared" si="3"/>
        <v>0.37410963768565814</v>
      </c>
    </row>
    <row r="18" spans="1:8" x14ac:dyDescent="0.4">
      <c r="A18">
        <v>17</v>
      </c>
      <c r="B18">
        <v>0.38904507784571779</v>
      </c>
      <c r="C18">
        <v>22.841463414634145</v>
      </c>
      <c r="D18">
        <v>1.1984996559862098</v>
      </c>
      <c r="E18">
        <f t="shared" si="0"/>
        <v>0.54773597887312842</v>
      </c>
      <c r="F18" s="2">
        <f t="shared" si="1"/>
        <v>0.37826155426702301</v>
      </c>
      <c r="G18">
        <f t="shared" si="2"/>
        <v>0.38759937389967375</v>
      </c>
      <c r="H18">
        <f t="shared" si="3"/>
        <v>0.38347986349928842</v>
      </c>
    </row>
    <row r="19" spans="1:8" x14ac:dyDescent="0.4">
      <c r="A19">
        <v>18</v>
      </c>
      <c r="B19">
        <v>0.30350349256644071</v>
      </c>
      <c r="C19">
        <v>16.633477633477632</v>
      </c>
      <c r="D19">
        <v>1.0783630599569862</v>
      </c>
      <c r="E19">
        <f t="shared" si="0"/>
        <v>0.59307054341245802</v>
      </c>
      <c r="F19" s="2">
        <f t="shared" si="1"/>
        <v>0.30031634560302028</v>
      </c>
      <c r="G19">
        <f t="shared" si="2"/>
        <v>0.31704873407628342</v>
      </c>
      <c r="H19">
        <f t="shared" si="3"/>
        <v>0.33982775212908906</v>
      </c>
    </row>
    <row r="20" spans="1:8" x14ac:dyDescent="0.4">
      <c r="A20">
        <v>19</v>
      </c>
      <c r="B20">
        <v>0.35354614303724685</v>
      </c>
      <c r="C20">
        <v>20.235294117647058</v>
      </c>
      <c r="D20">
        <v>1.3537920769926679</v>
      </c>
      <c r="E20">
        <f t="shared" si="0"/>
        <v>0.48913506528578565</v>
      </c>
      <c r="F20" s="2">
        <f t="shared" si="1"/>
        <v>0.34829212521880726</v>
      </c>
      <c r="G20">
        <f t="shared" si="2"/>
        <v>0.36028730183458402</v>
      </c>
      <c r="H20">
        <f t="shared" si="3"/>
        <v>0.36598380819400766</v>
      </c>
    </row>
    <row r="21" spans="1:8" x14ac:dyDescent="0.4">
      <c r="A21">
        <v>20</v>
      </c>
      <c r="B21">
        <v>0.30481201921919998</v>
      </c>
      <c r="C21">
        <v>17.147640791476409</v>
      </c>
      <c r="D21">
        <v>1.5825828994159958</v>
      </c>
      <c r="E21">
        <f t="shared" si="0"/>
        <v>0.40279890588075629</v>
      </c>
      <c r="F21" s="2">
        <f t="shared" si="1"/>
        <v>0.30766935325010475</v>
      </c>
      <c r="G21">
        <f t="shared" si="2"/>
        <v>0.32362832091054994</v>
      </c>
      <c r="H21">
        <f t="shared" si="3"/>
        <v>0.34372391013146469</v>
      </c>
    </row>
    <row r="22" spans="1:8" x14ac:dyDescent="0.4">
      <c r="A22">
        <v>21</v>
      </c>
      <c r="B22">
        <v>0.28719691278434362</v>
      </c>
      <c r="C22">
        <v>15.030831099195709</v>
      </c>
      <c r="D22">
        <v>1.6337066956840569</v>
      </c>
      <c r="E22">
        <f t="shared" si="0"/>
        <v>0.38350690728903514</v>
      </c>
      <c r="F22" s="2">
        <f t="shared" si="1"/>
        <v>0.27624320347776427</v>
      </c>
      <c r="G22">
        <f t="shared" si="2"/>
        <v>0.29563617709301032</v>
      </c>
      <c r="H22">
        <f t="shared" si="3"/>
        <v>0.32728040287279703</v>
      </c>
    </row>
    <row r="23" spans="1:8" x14ac:dyDescent="0.4">
      <c r="A23">
        <v>22</v>
      </c>
      <c r="B23">
        <v>0.38190970127023155</v>
      </c>
      <c r="C23">
        <v>22.793877551020408</v>
      </c>
      <c r="D23">
        <v>1.0926125732391867</v>
      </c>
      <c r="E23">
        <f t="shared" si="0"/>
        <v>0.58769336858898613</v>
      </c>
      <c r="F23" s="2">
        <f t="shared" si="1"/>
        <v>0.37774682276669325</v>
      </c>
      <c r="G23">
        <f t="shared" si="2"/>
        <v>0.38712915710733403</v>
      </c>
      <c r="H23">
        <f t="shared" si="3"/>
        <v>0.38316963091843287</v>
      </c>
    </row>
    <row r="24" spans="1:8" x14ac:dyDescent="0.4">
      <c r="A24">
        <v>23</v>
      </c>
      <c r="B24">
        <v>0.47847940812881601</v>
      </c>
      <c r="C24">
        <v>34.222910216718269</v>
      </c>
      <c r="D24">
        <v>1.3918099715452186</v>
      </c>
      <c r="E24">
        <f t="shared" si="0"/>
        <v>0.47478868998293633</v>
      </c>
      <c r="F24" s="2">
        <f t="shared" si="1"/>
        <v>0.47449797481559508</v>
      </c>
      <c r="G24">
        <f t="shared" si="2"/>
        <v>0.47312310899270948</v>
      </c>
      <c r="H24">
        <f t="shared" si="3"/>
        <v>0.45017089921371051</v>
      </c>
    </row>
    <row r="25" spans="1:8" x14ac:dyDescent="0.4">
      <c r="A25">
        <v>24</v>
      </c>
      <c r="B25">
        <v>0.36828949121198545</v>
      </c>
      <c r="C25">
        <v>22.320463320463318</v>
      </c>
      <c r="D25">
        <v>1.3261094747575064</v>
      </c>
      <c r="E25">
        <f t="shared" si="0"/>
        <v>0.49958133028018625</v>
      </c>
      <c r="F25" s="2">
        <f t="shared" si="1"/>
        <v>0.37256236503315093</v>
      </c>
      <c r="G25">
        <f t="shared" si="2"/>
        <v>0.38239444650470722</v>
      </c>
      <c r="H25">
        <f t="shared" si="3"/>
        <v>0.38006542859701681</v>
      </c>
    </row>
    <row r="26" spans="1:8" x14ac:dyDescent="0.4">
      <c r="A26">
        <v>25</v>
      </c>
      <c r="B26">
        <v>0.39607807969389863</v>
      </c>
      <c r="C26">
        <v>23.533742331288341</v>
      </c>
      <c r="D26">
        <v>1.5505963366594255</v>
      </c>
      <c r="E26">
        <f t="shared" si="0"/>
        <v>0.41486930692097146</v>
      </c>
      <c r="F26" s="2">
        <f t="shared" si="1"/>
        <v>0.38562049963685241</v>
      </c>
      <c r="G26">
        <f t="shared" si="2"/>
        <v>0.3943235362951949</v>
      </c>
      <c r="H26">
        <f t="shared" si="3"/>
        <v>0.38795710293097707</v>
      </c>
    </row>
    <row r="27" spans="1:8" x14ac:dyDescent="0.4">
      <c r="A27">
        <v>26</v>
      </c>
      <c r="B27">
        <v>0.42873067139223159</v>
      </c>
      <c r="C27">
        <v>25.114537444933919</v>
      </c>
      <c r="D27">
        <v>1.4630162591329336</v>
      </c>
      <c r="E27">
        <f t="shared" si="0"/>
        <v>0.44791839278002499</v>
      </c>
      <c r="F27" s="2">
        <f t="shared" si="1"/>
        <v>0.40155269373435226</v>
      </c>
      <c r="G27">
        <f t="shared" si="2"/>
        <v>0.4088762252732201</v>
      </c>
      <c r="H27">
        <f t="shared" si="3"/>
        <v>0.39794006049912123</v>
      </c>
    </row>
    <row r="28" spans="1:8" x14ac:dyDescent="0.4">
      <c r="A28">
        <v>27</v>
      </c>
      <c r="B28">
        <v>0.45456896673338881</v>
      </c>
      <c r="C28">
        <v>29.900523560209425</v>
      </c>
      <c r="D28">
        <v>1.0945837936951976</v>
      </c>
      <c r="E28">
        <f t="shared" si="0"/>
        <v>0.58694951181313293</v>
      </c>
      <c r="F28" s="2">
        <f t="shared" si="1"/>
        <v>0.44332147179580383</v>
      </c>
      <c r="G28">
        <f t="shared" si="2"/>
        <v>0.44654832324450761</v>
      </c>
      <c r="H28">
        <f t="shared" si="3"/>
        <v>0.42638484763453199</v>
      </c>
    </row>
    <row r="29" spans="1:8" x14ac:dyDescent="0.4">
      <c r="A29">
        <v>28</v>
      </c>
      <c r="B29">
        <v>0.35261759796892245</v>
      </c>
      <c r="C29">
        <v>20.100364963503647</v>
      </c>
      <c r="D29">
        <v>1.3896422343654042</v>
      </c>
      <c r="E29">
        <f t="shared" si="0"/>
        <v>0.47560670401305494</v>
      </c>
      <c r="F29" s="2">
        <f t="shared" si="1"/>
        <v>0.34663757394339478</v>
      </c>
      <c r="G29">
        <f t="shared" si="2"/>
        <v>0.35878487771636353</v>
      </c>
      <c r="H29">
        <f t="shared" si="3"/>
        <v>0.3650481399984184</v>
      </c>
    </row>
    <row r="30" spans="1:8" x14ac:dyDescent="0.4">
      <c r="A30">
        <v>29</v>
      </c>
      <c r="B30">
        <v>0.36769683062045483</v>
      </c>
      <c r="C30">
        <v>22.28902953586498</v>
      </c>
      <c r="D30">
        <v>1.3307003600978105</v>
      </c>
      <c r="E30">
        <f t="shared" si="0"/>
        <v>0.4978489207178074</v>
      </c>
      <c r="F30" s="2">
        <f t="shared" si="1"/>
        <v>0.37221399847789727</v>
      </c>
      <c r="G30">
        <f t="shared" si="2"/>
        <v>0.38207640630952838</v>
      </c>
      <c r="H30">
        <f t="shared" si="3"/>
        <v>0.37985815542300516</v>
      </c>
    </row>
    <row r="31" spans="1:8" x14ac:dyDescent="0.4">
      <c r="A31">
        <v>30</v>
      </c>
      <c r="B31">
        <v>0.27869658009959741</v>
      </c>
      <c r="C31">
        <v>13.590163934426229</v>
      </c>
      <c r="D31">
        <v>1.4532481941362545</v>
      </c>
      <c r="E31">
        <f t="shared" si="0"/>
        <v>0.45160445504292279</v>
      </c>
      <c r="F31" s="2">
        <f t="shared" si="1"/>
        <v>0.25304489028905508</v>
      </c>
      <c r="G31">
        <f t="shared" si="2"/>
        <v>0.27518967443164938</v>
      </c>
      <c r="H31">
        <f t="shared" si="3"/>
        <v>0.31541673409393223</v>
      </c>
    </row>
    <row r="32" spans="1:8" x14ac:dyDescent="0.4">
      <c r="A32">
        <v>31</v>
      </c>
      <c r="B32">
        <v>0.26613246622537068</v>
      </c>
      <c r="C32">
        <v>11.52405322415558</v>
      </c>
      <c r="D32">
        <v>1.4308570833929519</v>
      </c>
      <c r="E32">
        <f t="shared" si="0"/>
        <v>0.46005393079511248</v>
      </c>
      <c r="F32" s="2">
        <f t="shared" si="1"/>
        <v>0.21704114644369749</v>
      </c>
      <c r="G32">
        <f t="shared" si="2"/>
        <v>0.24381594180669139</v>
      </c>
      <c r="H32">
        <f t="shared" si="3"/>
        <v>0.29724392086869811</v>
      </c>
    </row>
    <row r="33" spans="1:8" x14ac:dyDescent="0.4">
      <c r="A33">
        <v>32</v>
      </c>
      <c r="B33">
        <v>0.27234429298643409</v>
      </c>
      <c r="C33">
        <v>13.404872389791183</v>
      </c>
      <c r="D33">
        <v>1.3727557633836385</v>
      </c>
      <c r="E33">
        <f t="shared" si="0"/>
        <v>0.4819789572137213</v>
      </c>
      <c r="F33" s="2">
        <f t="shared" si="1"/>
        <v>0.24994997903691626</v>
      </c>
      <c r="G33">
        <f t="shared" si="2"/>
        <v>0.27247575722566392</v>
      </c>
      <c r="H33">
        <f t="shared" si="3"/>
        <v>0.31384609558095633</v>
      </c>
    </row>
    <row r="34" spans="1:8" x14ac:dyDescent="0.4">
      <c r="A34">
        <v>33</v>
      </c>
      <c r="B34">
        <v>0.33339472029770523</v>
      </c>
      <c r="C34">
        <v>19.316062176165804</v>
      </c>
      <c r="D34">
        <v>1.4466867292991306</v>
      </c>
      <c r="E34">
        <f t="shared" si="0"/>
        <v>0.45408047950976205</v>
      </c>
      <c r="F34" s="2">
        <f t="shared" si="1"/>
        <v>0.3368085636980761</v>
      </c>
      <c r="G34">
        <f t="shared" si="2"/>
        <v>0.34987456552641288</v>
      </c>
      <c r="H34">
        <f t="shared" si="3"/>
        <v>0.35954606294068492</v>
      </c>
    </row>
    <row r="35" spans="1:8" x14ac:dyDescent="0.4">
      <c r="A35">
        <v>34</v>
      </c>
      <c r="B35">
        <v>0.45632928721365312</v>
      </c>
      <c r="C35">
        <v>31.790633608815426</v>
      </c>
      <c r="D35">
        <v>1.2833600272218995</v>
      </c>
      <c r="E35">
        <f t="shared" si="0"/>
        <v>0.51571319727475484</v>
      </c>
      <c r="F35" s="2">
        <f t="shared" si="1"/>
        <v>0.45758689853917689</v>
      </c>
      <c r="G35">
        <f t="shared" si="2"/>
        <v>0.45898010693902946</v>
      </c>
      <c r="H35">
        <f t="shared" si="3"/>
        <v>0.4369843786740894</v>
      </c>
    </row>
    <row r="36" spans="1:8" x14ac:dyDescent="0.4">
      <c r="A36">
        <v>35</v>
      </c>
      <c r="B36">
        <v>0.4832096163315644</v>
      </c>
      <c r="C36">
        <v>38.580985915492967</v>
      </c>
      <c r="D36">
        <v>1.342338120230044</v>
      </c>
      <c r="E36">
        <f t="shared" si="0"/>
        <v>0.49345731312073815</v>
      </c>
      <c r="F36" s="2">
        <f t="shared" si="1"/>
        <v>0.5018322088024284</v>
      </c>
      <c r="G36">
        <f t="shared" si="2"/>
        <v>0.49373433929340371</v>
      </c>
      <c r="H36">
        <f t="shared" si="3"/>
        <v>0.47267555043149745</v>
      </c>
    </row>
    <row r="37" spans="1:8" x14ac:dyDescent="0.4">
      <c r="A37">
        <v>36</v>
      </c>
      <c r="B37">
        <v>0.50015942581697903</v>
      </c>
      <c r="C37">
        <v>42.466926070038909</v>
      </c>
      <c r="D37">
        <v>1.3355666565822772</v>
      </c>
      <c r="E37">
        <f t="shared" si="0"/>
        <v>0.49601258242178214</v>
      </c>
      <c r="F37" s="2">
        <f t="shared" si="1"/>
        <v>0.52446448966164916</v>
      </c>
      <c r="G37">
        <f t="shared" si="2"/>
        <v>0.50764628604405382</v>
      </c>
      <c r="H37">
        <f t="shared" si="3"/>
        <v>0.49169115501957639</v>
      </c>
    </row>
    <row r="38" spans="1:8" x14ac:dyDescent="0.4">
      <c r="A38">
        <v>37</v>
      </c>
      <c r="B38">
        <v>0.37241440556215205</v>
      </c>
      <c r="C38">
        <v>22.50507099391481</v>
      </c>
      <c r="D38">
        <v>1.4423220637909904</v>
      </c>
      <c r="E38">
        <f t="shared" si="0"/>
        <v>0.45572752309773945</v>
      </c>
      <c r="F38" s="2">
        <f t="shared" si="1"/>
        <v>0.37459786350365065</v>
      </c>
      <c r="G38">
        <f t="shared" si="2"/>
        <v>0.38425303480595718</v>
      </c>
      <c r="H38">
        <f t="shared" si="3"/>
        <v>0.38127979005085816</v>
      </c>
    </row>
    <row r="39" spans="1:8" x14ac:dyDescent="0.4">
      <c r="A39">
        <v>38</v>
      </c>
      <c r="B39">
        <v>0.471300731105259</v>
      </c>
      <c r="C39">
        <v>33.532934131736525</v>
      </c>
      <c r="D39">
        <v>1.4261328661050419</v>
      </c>
      <c r="E39">
        <f t="shared" si="0"/>
        <v>0.46183665429998422</v>
      </c>
      <c r="F39" s="2">
        <f t="shared" si="1"/>
        <v>0.46984732696749265</v>
      </c>
      <c r="G39">
        <f t="shared" si="2"/>
        <v>0.46931482958023285</v>
      </c>
      <c r="H39">
        <f t="shared" si="3"/>
        <v>0.44647919983852324</v>
      </c>
    </row>
    <row r="40" spans="1:8" x14ac:dyDescent="0.4">
      <c r="A40">
        <v>39</v>
      </c>
      <c r="B40">
        <v>0.45444017368410222</v>
      </c>
      <c r="C40">
        <v>29.677002583979327</v>
      </c>
      <c r="D40">
        <v>1.4389093067454868</v>
      </c>
      <c r="E40">
        <f t="shared" si="0"/>
        <v>0.45701535594509934</v>
      </c>
      <c r="F40" s="2">
        <f t="shared" si="1"/>
        <v>0.44156023992689486</v>
      </c>
      <c r="G40">
        <f t="shared" si="2"/>
        <v>0.44499070865279011</v>
      </c>
      <c r="H40">
        <f t="shared" si="3"/>
        <v>0.42510947275733513</v>
      </c>
    </row>
    <row r="41" spans="1:8" x14ac:dyDescent="0.4">
      <c r="A41">
        <v>40</v>
      </c>
      <c r="B41">
        <v>0.47967815954567405</v>
      </c>
      <c r="C41">
        <v>35.731788079470199</v>
      </c>
      <c r="D41">
        <v>1.218302787818214</v>
      </c>
      <c r="E41">
        <f t="shared" si="0"/>
        <v>0.54026309893652302</v>
      </c>
      <c r="F41" s="2">
        <f t="shared" si="1"/>
        <v>0.4843198889733436</v>
      </c>
      <c r="G41">
        <f t="shared" si="2"/>
        <v>0.48091396892399285</v>
      </c>
      <c r="H41">
        <f t="shared" si="3"/>
        <v>0.45811657691190844</v>
      </c>
    </row>
    <row r="42" spans="1:8" x14ac:dyDescent="0.4">
      <c r="A42">
        <v>41</v>
      </c>
      <c r="B42">
        <v>0.43075695332408298</v>
      </c>
      <c r="C42">
        <v>25.514018691588785</v>
      </c>
      <c r="D42">
        <v>1.4434136506122792</v>
      </c>
      <c r="E42">
        <f t="shared" si="0"/>
        <v>0.45531560354253608</v>
      </c>
      <c r="F42" s="2">
        <f t="shared" si="1"/>
        <v>0.40539608250485892</v>
      </c>
      <c r="G42">
        <f t="shared" si="2"/>
        <v>0.41238136219569266</v>
      </c>
      <c r="H42">
        <f t="shared" si="3"/>
        <v>0.40041270708049131</v>
      </c>
    </row>
    <row r="43" spans="1:8" x14ac:dyDescent="0.4">
      <c r="A43">
        <v>42</v>
      </c>
      <c r="B43">
        <v>0.41903407988651964</v>
      </c>
      <c r="C43">
        <v>24.598698481561822</v>
      </c>
      <c r="D43">
        <v>1.577096843023202</v>
      </c>
      <c r="E43">
        <f t="shared" si="0"/>
        <v>0.40486911584030116</v>
      </c>
      <c r="F43" s="2">
        <f t="shared" si="1"/>
        <v>0.39648287876943344</v>
      </c>
      <c r="G43">
        <f t="shared" si="2"/>
        <v>0.40424816886439874</v>
      </c>
      <c r="H43">
        <f t="shared" si="3"/>
        <v>0.39471792341911538</v>
      </c>
    </row>
    <row r="44" spans="1:8" x14ac:dyDescent="0.4">
      <c r="A44">
        <v>43</v>
      </c>
      <c r="B44">
        <v>0.47773743550544612</v>
      </c>
      <c r="C44">
        <v>34.047477744807118</v>
      </c>
      <c r="D44">
        <v>1.3827812051226285</v>
      </c>
      <c r="E44">
        <f t="shared" si="0"/>
        <v>0.47819577165183824</v>
      </c>
      <c r="F44" s="2">
        <f t="shared" si="1"/>
        <v>0.47332563896365631</v>
      </c>
      <c r="G44">
        <f t="shared" si="2"/>
        <v>0.47216972944721236</v>
      </c>
      <c r="H44">
        <f t="shared" si="3"/>
        <v>0.4492358075249111</v>
      </c>
    </row>
    <row r="45" spans="1:8" x14ac:dyDescent="0.4">
      <c r="A45">
        <v>44</v>
      </c>
      <c r="B45">
        <v>0.48968835046253301</v>
      </c>
      <c r="C45">
        <v>40.981684981684978</v>
      </c>
      <c r="D45">
        <v>1.3941375034853436</v>
      </c>
      <c r="E45">
        <f t="shared" si="0"/>
        <v>0.47391037604326658</v>
      </c>
      <c r="F45" s="2">
        <f t="shared" si="1"/>
        <v>0.51590434234635019</v>
      </c>
      <c r="G45">
        <f t="shared" si="2"/>
        <v>0.50278005549283622</v>
      </c>
      <c r="H45">
        <f t="shared" si="3"/>
        <v>0.48453030398970909</v>
      </c>
    </row>
    <row r="46" spans="1:8" x14ac:dyDescent="0.4">
      <c r="A46">
        <v>45</v>
      </c>
      <c r="B46">
        <v>0.37129313062243868</v>
      </c>
      <c r="C46">
        <v>22.436507936507937</v>
      </c>
      <c r="D46">
        <v>1.3771667294982961</v>
      </c>
      <c r="E46">
        <f t="shared" si="0"/>
        <v>0.48031444169875614</v>
      </c>
      <c r="F46" s="2">
        <f t="shared" si="1"/>
        <v>0.37384395674458204</v>
      </c>
      <c r="G46">
        <f t="shared" si="2"/>
        <v>0.38356459692747469</v>
      </c>
      <c r="H46">
        <f t="shared" si="3"/>
        <v>0.38082936122096778</v>
      </c>
    </row>
    <row r="47" spans="1:8" x14ac:dyDescent="0.4">
      <c r="A47">
        <v>46</v>
      </c>
      <c r="B47">
        <v>0.52798643311278759</v>
      </c>
      <c r="C47">
        <v>56.601036269430047</v>
      </c>
      <c r="D47">
        <v>1.2379453164402194</v>
      </c>
      <c r="E47">
        <f t="shared" si="0"/>
        <v>0.53285082398482286</v>
      </c>
      <c r="F47" s="2">
        <f t="shared" si="1"/>
        <v>0.61745299871780124</v>
      </c>
      <c r="G47">
        <f t="shared" si="2"/>
        <v>0.53363403369500984</v>
      </c>
      <c r="H47">
        <f t="shared" si="3"/>
        <v>0.55439229497706932</v>
      </c>
    </row>
    <row r="48" spans="1:8" x14ac:dyDescent="0.4">
      <c r="A48">
        <v>47</v>
      </c>
      <c r="B48">
        <v>0.55547905765716143</v>
      </c>
      <c r="C48">
        <v>77.347517730496463</v>
      </c>
      <c r="D48">
        <v>1.1157609415237129</v>
      </c>
      <c r="E48">
        <f t="shared" si="0"/>
        <v>0.57895813527407058</v>
      </c>
      <c r="F48" s="2">
        <f t="shared" si="1"/>
        <v>0.9048879639845735</v>
      </c>
      <c r="G48">
        <f t="shared" si="2"/>
        <v>0.55547694251701041</v>
      </c>
      <c r="H48">
        <f t="shared" si="3"/>
        <v>0.63357852020443817</v>
      </c>
    </row>
    <row r="49" spans="1:8" x14ac:dyDescent="0.4">
      <c r="A49">
        <v>48</v>
      </c>
      <c r="B49">
        <v>0.48838324109151399</v>
      </c>
      <c r="C49">
        <v>38.902777777777786</v>
      </c>
      <c r="D49">
        <v>1.3765315938292517</v>
      </c>
      <c r="E49">
        <f t="shared" si="0"/>
        <v>0.48055411553613137</v>
      </c>
      <c r="F49" s="2">
        <f t="shared" si="1"/>
        <v>0.5037456096865891</v>
      </c>
      <c r="G49">
        <f t="shared" si="2"/>
        <v>0.49503601671172104</v>
      </c>
      <c r="H49">
        <f t="shared" si="3"/>
        <v>0.4742855682428524</v>
      </c>
    </row>
    <row r="50" spans="1:8" x14ac:dyDescent="0.4">
      <c r="A50">
        <v>49</v>
      </c>
      <c r="B50">
        <v>0.52024611523684361</v>
      </c>
      <c r="C50">
        <v>44.677290836653391</v>
      </c>
      <c r="D50">
        <v>1.2416961569503944</v>
      </c>
      <c r="E50">
        <f t="shared" si="0"/>
        <v>0.53143541247154924</v>
      </c>
      <c r="F50" s="2">
        <f t="shared" si="1"/>
        <v>0.53721155769165985</v>
      </c>
      <c r="G50">
        <f t="shared" si="2"/>
        <v>0.51395019594106039</v>
      </c>
      <c r="H50">
        <f t="shared" si="3"/>
        <v>0.50212008228838367</v>
      </c>
    </row>
    <row r="51" spans="1:8" x14ac:dyDescent="0.4">
      <c r="A51">
        <v>50</v>
      </c>
      <c r="B51">
        <v>0.49684687624211682</v>
      </c>
      <c r="C51">
        <v>42.262745098039211</v>
      </c>
      <c r="D51">
        <v>1.3502683749629589</v>
      </c>
      <c r="E51">
        <f t="shared" si="0"/>
        <v>0.49046476416492113</v>
      </c>
      <c r="F51" s="2">
        <f t="shared" si="1"/>
        <v>0.52329016759538338</v>
      </c>
      <c r="G51">
        <f t="shared" si="2"/>
        <v>0.50700855592070604</v>
      </c>
      <c r="H51">
        <f t="shared" si="3"/>
        <v>0.49071423757935867</v>
      </c>
    </row>
    <row r="52" spans="1:8" x14ac:dyDescent="0.4">
      <c r="A52">
        <v>51</v>
      </c>
      <c r="B52">
        <v>0.5206884393777329</v>
      </c>
      <c r="C52">
        <v>46.284482758620683</v>
      </c>
      <c r="D52">
        <v>1.3601847349750402</v>
      </c>
      <c r="E52">
        <f t="shared" si="0"/>
        <v>0.48672274151885275</v>
      </c>
      <c r="F52" s="2">
        <f t="shared" si="1"/>
        <v>0.54662583551927879</v>
      </c>
      <c r="G52">
        <f t="shared" si="2"/>
        <v>0.51789144485250471</v>
      </c>
      <c r="H52">
        <f t="shared" si="3"/>
        <v>0.50954198525078143</v>
      </c>
    </row>
    <row r="53" spans="1:8" x14ac:dyDescent="0.4">
      <c r="A53">
        <v>52</v>
      </c>
      <c r="B53">
        <v>0.4432472448684413</v>
      </c>
      <c r="C53">
        <v>27.144549763033176</v>
      </c>
      <c r="D53">
        <v>1.4927381768175436</v>
      </c>
      <c r="E53">
        <f t="shared" si="0"/>
        <v>0.43670257478583263</v>
      </c>
      <c r="F53" s="2">
        <f t="shared" si="1"/>
        <v>0.42036978408469911</v>
      </c>
      <c r="G53">
        <f t="shared" si="2"/>
        <v>0.42598925759528328</v>
      </c>
      <c r="H53">
        <f t="shared" si="3"/>
        <v>0.41030977758272369</v>
      </c>
    </row>
    <row r="54" spans="1:8" x14ac:dyDescent="0.4">
      <c r="A54">
        <v>53</v>
      </c>
      <c r="B54">
        <v>0.47203358361602893</v>
      </c>
      <c r="C54">
        <v>33.652733118971057</v>
      </c>
      <c r="D54">
        <v>1.3486611606108851</v>
      </c>
      <c r="E54">
        <f t="shared" si="0"/>
        <v>0.49107126014683578</v>
      </c>
      <c r="F54" s="2">
        <f t="shared" si="1"/>
        <v>0.47066259150711959</v>
      </c>
      <c r="G54">
        <f t="shared" si="2"/>
        <v>0.4699873858150817</v>
      </c>
      <c r="H54">
        <f t="shared" si="3"/>
        <v>0.44712288729031213</v>
      </c>
    </row>
    <row r="55" spans="1:8" x14ac:dyDescent="0.4">
      <c r="A55">
        <v>54</v>
      </c>
      <c r="B55">
        <v>0.44292210476584143</v>
      </c>
      <c r="C55">
        <v>26.665071770334933</v>
      </c>
      <c r="D55">
        <v>1.2526638201663594</v>
      </c>
      <c r="E55">
        <f t="shared" si="0"/>
        <v>0.527296671635336</v>
      </c>
      <c r="F55" s="2">
        <f t="shared" si="1"/>
        <v>0.41608187790943896</v>
      </c>
      <c r="G55">
        <f t="shared" si="2"/>
        <v>0.42210255820538756</v>
      </c>
      <c r="H55">
        <f t="shared" si="3"/>
        <v>0.40743103347959059</v>
      </c>
    </row>
    <row r="56" spans="1:8" x14ac:dyDescent="0.4">
      <c r="A56">
        <v>55</v>
      </c>
      <c r="B56">
        <v>0.44990885467168268</v>
      </c>
      <c r="C56">
        <v>27.59949622166247</v>
      </c>
      <c r="D56">
        <v>1.5116893850538735</v>
      </c>
      <c r="E56">
        <f t="shared" si="0"/>
        <v>0.42955117545136845</v>
      </c>
      <c r="F56" s="2">
        <f t="shared" si="1"/>
        <v>0.42435331065304083</v>
      </c>
      <c r="G56">
        <f t="shared" si="2"/>
        <v>0.42959031471518672</v>
      </c>
      <c r="H56">
        <f t="shared" si="3"/>
        <v>0.41301782106428442</v>
      </c>
    </row>
    <row r="57" spans="1:8" x14ac:dyDescent="0.4">
      <c r="A57">
        <v>56</v>
      </c>
      <c r="B57">
        <v>0.40259269696847721</v>
      </c>
      <c r="C57">
        <v>24.054621848739494</v>
      </c>
      <c r="D57">
        <v>1.3173666564365669</v>
      </c>
      <c r="E57">
        <f t="shared" si="0"/>
        <v>0.50288050700506903</v>
      </c>
      <c r="F57" s="2">
        <f t="shared" si="1"/>
        <v>0.39100128681755691</v>
      </c>
      <c r="G57">
        <f t="shared" si="2"/>
        <v>0.39924061442273939</v>
      </c>
      <c r="H57">
        <f t="shared" si="3"/>
        <v>0.39128257601438354</v>
      </c>
    </row>
    <row r="58" spans="1:8" x14ac:dyDescent="0.4">
      <c r="A58">
        <v>57</v>
      </c>
      <c r="B58">
        <v>0.51963136739466032</v>
      </c>
      <c r="C58">
        <v>43.688976377952756</v>
      </c>
      <c r="D58">
        <v>1.3808951252113304</v>
      </c>
      <c r="E58">
        <f t="shared" si="0"/>
        <v>0.47890749992025261</v>
      </c>
      <c r="F58" s="2">
        <f t="shared" si="1"/>
        <v>0.53149679837058672</v>
      </c>
      <c r="G58">
        <f t="shared" si="2"/>
        <v>0.51126399857327787</v>
      </c>
      <c r="H58">
        <f t="shared" si="3"/>
        <v>0.49748967997776578</v>
      </c>
    </row>
    <row r="59" spans="1:8" x14ac:dyDescent="0.4">
      <c r="A59">
        <v>58</v>
      </c>
      <c r="B59">
        <v>0.36608854561239129</v>
      </c>
      <c r="C59">
        <v>22.167999999999999</v>
      </c>
      <c r="D59">
        <v>1.3634547121465008</v>
      </c>
      <c r="E59">
        <f t="shared" si="0"/>
        <v>0.48548878786924499</v>
      </c>
      <c r="F59" s="2">
        <f t="shared" si="1"/>
        <v>0.37086783196021761</v>
      </c>
      <c r="G59">
        <f t="shared" si="2"/>
        <v>0.38084757255378754</v>
      </c>
      <c r="H59">
        <f t="shared" si="3"/>
        <v>0.37905872330844731</v>
      </c>
    </row>
    <row r="60" spans="1:8" x14ac:dyDescent="0.4">
      <c r="A60">
        <v>59</v>
      </c>
      <c r="B60">
        <v>0.52877315158268923</v>
      </c>
      <c r="C60">
        <v>56.994708994708994</v>
      </c>
      <c r="D60">
        <v>1.2360641306248454</v>
      </c>
      <c r="E60">
        <f t="shared" si="0"/>
        <v>0.53356070542458656</v>
      </c>
      <c r="F60" s="2">
        <f t="shared" si="1"/>
        <v>0.62073539672117917</v>
      </c>
      <c r="G60">
        <f t="shared" si="2"/>
        <v>0.53400649432241787</v>
      </c>
      <c r="H60">
        <f t="shared" si="3"/>
        <v>0.55601902314651241</v>
      </c>
    </row>
    <row r="61" spans="1:8" x14ac:dyDescent="0.4">
      <c r="A61">
        <v>60</v>
      </c>
      <c r="B61">
        <v>0.52755842900745609</v>
      </c>
      <c r="C61">
        <v>53.999999999999993</v>
      </c>
      <c r="D61">
        <v>1.2833363708158678</v>
      </c>
      <c r="E61">
        <f t="shared" si="0"/>
        <v>0.51572212422042729</v>
      </c>
      <c r="F61" s="2">
        <f t="shared" si="1"/>
        <v>0.59709519999999994</v>
      </c>
      <c r="G61">
        <f t="shared" si="2"/>
        <v>0.53086633342030365</v>
      </c>
      <c r="H61">
        <f t="shared" si="3"/>
        <v>0.54349905975966539</v>
      </c>
    </row>
    <row r="62" spans="1:8" x14ac:dyDescent="0.4">
      <c r="A62">
        <v>61</v>
      </c>
      <c r="B62">
        <v>0.54596411195904027</v>
      </c>
      <c r="C62">
        <v>67.438271604938279</v>
      </c>
      <c r="D62">
        <v>1.2293872733829461</v>
      </c>
      <c r="E62">
        <f t="shared" si="0"/>
        <v>0.53608027419511473</v>
      </c>
      <c r="F62" s="2">
        <f t="shared" si="1"/>
        <v>0.73366802287024813</v>
      </c>
      <c r="G62">
        <f t="shared" si="2"/>
        <v>0.54233685586260671</v>
      </c>
      <c r="H62">
        <f t="shared" si="3"/>
        <v>0.59728806446657101</v>
      </c>
    </row>
    <row r="63" spans="1:8" x14ac:dyDescent="0.4">
      <c r="A63">
        <v>62</v>
      </c>
      <c r="B63">
        <v>0.50520144017988022</v>
      </c>
      <c r="C63">
        <v>42.962406015037594</v>
      </c>
      <c r="D63">
        <v>1.2878395381540966</v>
      </c>
      <c r="E63">
        <f t="shared" si="0"/>
        <v>0.51402281579090692</v>
      </c>
      <c r="F63" s="2">
        <f t="shared" si="1"/>
        <v>0.52731386205317698</v>
      </c>
      <c r="G63">
        <f t="shared" si="2"/>
        <v>0.50915374710113626</v>
      </c>
      <c r="H63">
        <f t="shared" si="3"/>
        <v>0.49405209225951918</v>
      </c>
    </row>
    <row r="64" spans="1:8" x14ac:dyDescent="0.4">
      <c r="A64">
        <v>63</v>
      </c>
      <c r="B64">
        <v>0.47568223237671647</v>
      </c>
      <c r="C64">
        <v>33.917159763313606</v>
      </c>
      <c r="D64">
        <v>1.4231286245307155</v>
      </c>
      <c r="E64">
        <f t="shared" si="0"/>
        <v>0.46297033036576773</v>
      </c>
      <c r="F64" s="2">
        <f t="shared" si="1"/>
        <v>0.47245037626771641</v>
      </c>
      <c r="G64">
        <f t="shared" si="2"/>
        <v>0.47145497085793975</v>
      </c>
      <c r="H64">
        <f t="shared" si="3"/>
        <v>0.44853962505604295</v>
      </c>
    </row>
    <row r="65" spans="1:8" x14ac:dyDescent="0.4">
      <c r="A65">
        <v>64</v>
      </c>
      <c r="B65">
        <v>0.42415296652584789</v>
      </c>
      <c r="C65">
        <v>24.881278538812786</v>
      </c>
      <c r="D65">
        <v>1.5527489899328804</v>
      </c>
      <c r="E65">
        <f t="shared" si="0"/>
        <v>0.41405698493098853</v>
      </c>
      <c r="F65" s="2">
        <f t="shared" si="1"/>
        <v>0.39927526797607332</v>
      </c>
      <c r="G65">
        <f t="shared" si="2"/>
        <v>0.40679776445652688</v>
      </c>
      <c r="H65">
        <f t="shared" si="3"/>
        <v>0.39648717085908514</v>
      </c>
    </row>
    <row r="66" spans="1:8" x14ac:dyDescent="0.4">
      <c r="A66">
        <v>65</v>
      </c>
      <c r="B66">
        <v>0.36090822554959584</v>
      </c>
      <c r="C66">
        <v>22.028455284552845</v>
      </c>
      <c r="D66">
        <v>1.5592802541402995</v>
      </c>
      <c r="E66">
        <f t="shared" si="0"/>
        <v>0.41159235692818885</v>
      </c>
      <c r="F66" s="2">
        <f t="shared" si="1"/>
        <v>0.36930612439347488</v>
      </c>
      <c r="G66">
        <f t="shared" si="2"/>
        <v>0.3794222903398764</v>
      </c>
      <c r="H66">
        <f t="shared" si="3"/>
        <v>0.37813428005499194</v>
      </c>
    </row>
    <row r="67" spans="1:8" x14ac:dyDescent="0.4">
      <c r="A67">
        <v>66</v>
      </c>
      <c r="B67">
        <v>0.45800403343879936</v>
      </c>
      <c r="C67">
        <v>32.409638554216862</v>
      </c>
      <c r="D67">
        <v>1.4987431332338128</v>
      </c>
      <c r="E67">
        <f t="shared" ref="E67:E126" si="4">1-D67/2.65</f>
        <v>0.43443655349667443</v>
      </c>
      <c r="F67" s="2">
        <f t="shared" ref="F67:F126" si="5">-0.053 + 0.0292*C67 - 0.00055*C67^2 + 0.0000043*C67^3</f>
        <v>0.46203300302385319</v>
      </c>
      <c r="G67">
        <f t="shared" ref="G67:G126" si="6">0.0199968328989142 + 0.0233141416204949*C67 + (-0.000359778949756549)*(C67^2) + 1.91168311807627E-06*(C67^3)</f>
        <v>0.46277208206092835</v>
      </c>
      <c r="H67">
        <f t="shared" ref="H67:H126" si="7">0.085808537930808 + 0.0622837910327148*SQRT(C67)</f>
        <v>0.44038682099877585</v>
      </c>
    </row>
    <row r="68" spans="1:8" x14ac:dyDescent="0.4">
      <c r="A68">
        <v>67</v>
      </c>
      <c r="B68">
        <v>0.5418828307959086</v>
      </c>
      <c r="C68">
        <v>63.044198895027627</v>
      </c>
      <c r="D68">
        <v>1.2956426540894774</v>
      </c>
      <c r="E68">
        <f t="shared" si="4"/>
        <v>0.5110782437398198</v>
      </c>
      <c r="F68" s="2">
        <f t="shared" si="5"/>
        <v>0.67934322572154482</v>
      </c>
      <c r="G68">
        <f t="shared" si="6"/>
        <v>0.53886863705560539</v>
      </c>
      <c r="H68">
        <f t="shared" si="7"/>
        <v>0.58034418768296669</v>
      </c>
    </row>
    <row r="69" spans="1:8" x14ac:dyDescent="0.4">
      <c r="A69">
        <v>68</v>
      </c>
      <c r="B69">
        <v>0.5198160166341127</v>
      </c>
      <c r="C69">
        <v>43.780769230769224</v>
      </c>
      <c r="D69">
        <v>1.3163699497644763</v>
      </c>
      <c r="E69">
        <f t="shared" si="4"/>
        <v>0.50325662273038629</v>
      </c>
      <c r="F69" s="2">
        <f t="shared" si="5"/>
        <v>0.53202607443184458</v>
      </c>
      <c r="G69">
        <f t="shared" si="6"/>
        <v>0.51152230600848503</v>
      </c>
      <c r="H69">
        <f t="shared" si="7"/>
        <v>0.49792193498875442</v>
      </c>
    </row>
    <row r="70" spans="1:8" x14ac:dyDescent="0.4">
      <c r="A70">
        <v>69</v>
      </c>
      <c r="B70">
        <v>0.39988134429929151</v>
      </c>
      <c r="C70">
        <v>23.997950819672134</v>
      </c>
      <c r="D70">
        <v>1.4883913188997937</v>
      </c>
      <c r="E70">
        <f t="shared" si="4"/>
        <v>0.43834289852837971</v>
      </c>
      <c r="F70" s="2">
        <f t="shared" si="5"/>
        <v>0.39042223505606344</v>
      </c>
      <c r="G70">
        <f t="shared" si="6"/>
        <v>0.39871150719696868</v>
      </c>
      <c r="H70">
        <f t="shared" si="7"/>
        <v>0.39092252594956989</v>
      </c>
    </row>
    <row r="71" spans="1:8" x14ac:dyDescent="0.4">
      <c r="A71">
        <v>70</v>
      </c>
      <c r="B71">
        <v>0.52005137203118545</v>
      </c>
      <c r="C71">
        <v>44.373493975903614</v>
      </c>
      <c r="D71">
        <v>1.3685936056860095</v>
      </c>
      <c r="E71">
        <f t="shared" si="4"/>
        <v>0.48354958275999638</v>
      </c>
      <c r="F71" s="2">
        <f t="shared" si="5"/>
        <v>0.53545058281160662</v>
      </c>
      <c r="G71">
        <f t="shared" si="6"/>
        <v>0.51314653663126353</v>
      </c>
      <c r="H71">
        <f t="shared" si="7"/>
        <v>0.50070224929239548</v>
      </c>
    </row>
    <row r="72" spans="1:8" x14ac:dyDescent="0.4">
      <c r="A72">
        <v>71</v>
      </c>
      <c r="B72">
        <v>0.53155944353319962</v>
      </c>
      <c r="C72">
        <v>60.922651933701658</v>
      </c>
      <c r="D72">
        <v>1.2801000205758406</v>
      </c>
      <c r="E72">
        <f t="shared" si="4"/>
        <v>0.51694338846194698</v>
      </c>
      <c r="F72" s="2">
        <f t="shared" si="5"/>
        <v>0.65688843023445731</v>
      </c>
      <c r="G72">
        <f t="shared" si="6"/>
        <v>0.53727880562598873</v>
      </c>
      <c r="H72">
        <f t="shared" si="7"/>
        <v>0.57195198802377878</v>
      </c>
    </row>
    <row r="73" spans="1:8" x14ac:dyDescent="0.4">
      <c r="A73">
        <v>72</v>
      </c>
      <c r="B73">
        <v>0.42987527583663554</v>
      </c>
      <c r="C73">
        <v>25.307174887892376</v>
      </c>
      <c r="D73">
        <v>1.5353611416297361</v>
      </c>
      <c r="E73">
        <f t="shared" si="4"/>
        <v>0.42061843712085423</v>
      </c>
      <c r="F73" s="2">
        <f t="shared" si="5"/>
        <v>0.4034149533902327</v>
      </c>
      <c r="G73">
        <f t="shared" si="6"/>
        <v>0.41057502033242427</v>
      </c>
      <c r="H73">
        <f t="shared" si="7"/>
        <v>0.39913485370181956</v>
      </c>
    </row>
    <row r="74" spans="1:8" x14ac:dyDescent="0.4">
      <c r="A74">
        <v>73</v>
      </c>
      <c r="B74">
        <v>0.41276009618839016</v>
      </c>
      <c r="C74">
        <v>24.499999999999996</v>
      </c>
      <c r="D74">
        <v>1.4932509581693649</v>
      </c>
      <c r="E74">
        <f t="shared" si="4"/>
        <v>0.4365090723889189</v>
      </c>
      <c r="F74" s="2">
        <f t="shared" si="5"/>
        <v>0.39549883749999992</v>
      </c>
      <c r="G74">
        <f t="shared" si="6"/>
        <v>0.40334943890448999</v>
      </c>
      <c r="H74">
        <f t="shared" si="7"/>
        <v>0.39409757491147762</v>
      </c>
    </row>
    <row r="75" spans="1:8" x14ac:dyDescent="0.4">
      <c r="A75">
        <v>74</v>
      </c>
      <c r="B75">
        <v>0.42944258352658232</v>
      </c>
      <c r="C75">
        <v>25.151162790697672</v>
      </c>
      <c r="D75">
        <v>1.3139446968751609</v>
      </c>
      <c r="E75">
        <f t="shared" si="4"/>
        <v>0.50417181249993925</v>
      </c>
      <c r="F75" s="2">
        <f t="shared" si="5"/>
        <v>0.40190804317874518</v>
      </c>
      <c r="G75">
        <f t="shared" si="6"/>
        <v>0.40920044029033992</v>
      </c>
      <c r="H75">
        <f t="shared" si="7"/>
        <v>0.39816757335123587</v>
      </c>
    </row>
    <row r="76" spans="1:8" x14ac:dyDescent="0.4">
      <c r="A76">
        <v>75</v>
      </c>
      <c r="B76">
        <v>0.32620186854361233</v>
      </c>
      <c r="C76">
        <v>18.720613287904602</v>
      </c>
      <c r="D76">
        <v>1.1719912594125548</v>
      </c>
      <c r="E76">
        <f t="shared" si="4"/>
        <v>0.55773914739148878</v>
      </c>
      <c r="F76" s="2">
        <f t="shared" si="5"/>
        <v>0.32909982097589879</v>
      </c>
      <c r="G76">
        <f t="shared" si="6"/>
        <v>0.34290551090739385</v>
      </c>
      <c r="H76">
        <f t="shared" si="7"/>
        <v>0.35529383477902216</v>
      </c>
    </row>
    <row r="77" spans="1:8" x14ac:dyDescent="0.4">
      <c r="A77">
        <v>76</v>
      </c>
      <c r="B77">
        <v>0.39637141400450132</v>
      </c>
      <c r="C77">
        <v>23.795206971677562</v>
      </c>
      <c r="D77">
        <v>1.4922162365246057</v>
      </c>
      <c r="E77">
        <f t="shared" si="4"/>
        <v>0.43689953338694121</v>
      </c>
      <c r="F77" s="2">
        <f t="shared" si="5"/>
        <v>0.38833796604976162</v>
      </c>
      <c r="G77">
        <f t="shared" si="6"/>
        <v>0.39680689724287072</v>
      </c>
      <c r="H77">
        <f t="shared" si="7"/>
        <v>0.38963093248181191</v>
      </c>
    </row>
    <row r="78" spans="1:8" x14ac:dyDescent="0.4">
      <c r="A78">
        <v>77</v>
      </c>
      <c r="B78">
        <v>0.54343036747642681</v>
      </c>
      <c r="C78">
        <v>63.649122807017541</v>
      </c>
      <c r="D78">
        <v>1.2126485861987359</v>
      </c>
      <c r="E78">
        <f t="shared" si="4"/>
        <v>0.54239675992500525</v>
      </c>
      <c r="F78" s="2">
        <f t="shared" si="5"/>
        <v>0.68616929556516726</v>
      </c>
      <c r="G78">
        <f t="shared" si="6"/>
        <v>0.53932010939070008</v>
      </c>
      <c r="H78">
        <f t="shared" si="7"/>
        <v>0.58271111634852812</v>
      </c>
    </row>
    <row r="79" spans="1:8" x14ac:dyDescent="0.4">
      <c r="A79">
        <v>78</v>
      </c>
      <c r="B79">
        <v>0.46379791184494251</v>
      </c>
      <c r="C79">
        <v>32.967551622418874</v>
      </c>
      <c r="D79">
        <v>1.3658657726454335</v>
      </c>
      <c r="E79">
        <f t="shared" si="4"/>
        <v>0.4845789537187043</v>
      </c>
      <c r="F79" s="2">
        <f t="shared" si="5"/>
        <v>0.46595351440569699</v>
      </c>
      <c r="G79">
        <f t="shared" si="6"/>
        <v>0.46607554535022666</v>
      </c>
      <c r="H79">
        <f t="shared" si="7"/>
        <v>0.44342572795449048</v>
      </c>
    </row>
    <row r="80" spans="1:8" x14ac:dyDescent="0.4">
      <c r="A80">
        <v>79</v>
      </c>
      <c r="B80">
        <v>0.46555079314336789</v>
      </c>
      <c r="C80">
        <v>33.074285714285715</v>
      </c>
      <c r="D80">
        <v>1.5004782774509378</v>
      </c>
      <c r="E80">
        <f t="shared" si="4"/>
        <v>0.43378178209398577</v>
      </c>
      <c r="F80" s="2">
        <f t="shared" si="5"/>
        <v>0.46669456040109142</v>
      </c>
      <c r="G80">
        <f t="shared" si="6"/>
        <v>0.46669535806000484</v>
      </c>
      <c r="H80">
        <f t="shared" si="7"/>
        <v>0.44400416189590214</v>
      </c>
    </row>
    <row r="81" spans="1:8" x14ac:dyDescent="0.4">
      <c r="A81">
        <v>80</v>
      </c>
      <c r="B81">
        <v>0.48875631373878708</v>
      </c>
      <c r="C81">
        <v>39.720588235294116</v>
      </c>
      <c r="D81">
        <v>1.3761258675490646</v>
      </c>
      <c r="E81">
        <f t="shared" si="4"/>
        <v>0.48070721979280573</v>
      </c>
      <c r="F81" s="2">
        <f t="shared" si="5"/>
        <v>0.50856548708242189</v>
      </c>
      <c r="G81">
        <f t="shared" si="6"/>
        <v>0.49821764514195788</v>
      </c>
      <c r="H81">
        <f t="shared" si="7"/>
        <v>0.47834759479656597</v>
      </c>
    </row>
    <row r="82" spans="1:8" x14ac:dyDescent="0.4">
      <c r="A82">
        <v>81</v>
      </c>
      <c r="B82">
        <v>0.55198976978959946</v>
      </c>
      <c r="C82">
        <v>70.303797468354432</v>
      </c>
      <c r="D82">
        <v>1.2263901536292336</v>
      </c>
      <c r="E82">
        <f t="shared" si="4"/>
        <v>0.53721126278142117</v>
      </c>
      <c r="F82" s="2">
        <f t="shared" si="5"/>
        <v>0.77561421894657445</v>
      </c>
      <c r="G82">
        <f t="shared" si="6"/>
        <v>0.54509912634081725</v>
      </c>
      <c r="H82">
        <f t="shared" si="7"/>
        <v>0.60804168162578864</v>
      </c>
    </row>
    <row r="83" spans="1:8" x14ac:dyDescent="0.4">
      <c r="A83">
        <v>82</v>
      </c>
      <c r="B83">
        <v>0.53273448513260979</v>
      </c>
      <c r="C83">
        <v>62.409090909090914</v>
      </c>
      <c r="D83">
        <v>1.3065493327992386</v>
      </c>
      <c r="E83">
        <f t="shared" si="4"/>
        <v>0.50696251592481567</v>
      </c>
      <c r="F83" s="2">
        <f t="shared" si="5"/>
        <v>0.67238379067430509</v>
      </c>
      <c r="G83">
        <f t="shared" si="6"/>
        <v>0.5383959959506448</v>
      </c>
      <c r="H83">
        <f t="shared" si="7"/>
        <v>0.57784690342884937</v>
      </c>
    </row>
    <row r="84" spans="1:8" x14ac:dyDescent="0.4">
      <c r="A84">
        <v>83</v>
      </c>
      <c r="B84">
        <v>0.45520757465404221</v>
      </c>
      <c r="C84">
        <v>30.453453453453452</v>
      </c>
      <c r="D84">
        <v>1.502717664896966</v>
      </c>
      <c r="E84">
        <f t="shared" si="4"/>
        <v>0.43293673022755996</v>
      </c>
      <c r="F84" s="2">
        <f t="shared" si="5"/>
        <v>0.44760835633404938</v>
      </c>
      <c r="G84">
        <f t="shared" si="6"/>
        <v>0.45032086637505786</v>
      </c>
      <c r="H84">
        <f t="shared" si="7"/>
        <v>0.42951944468847525</v>
      </c>
    </row>
    <row r="85" spans="1:8" x14ac:dyDescent="0.4">
      <c r="A85">
        <v>84</v>
      </c>
      <c r="B85">
        <v>0.36024484886625796</v>
      </c>
      <c r="C85">
        <v>21.550980392156863</v>
      </c>
      <c r="D85">
        <v>1.1390343876085891</v>
      </c>
      <c r="E85">
        <f t="shared" si="4"/>
        <v>0.57017570278921159</v>
      </c>
      <c r="F85" s="2">
        <f t="shared" si="5"/>
        <v>0.36388374298169851</v>
      </c>
      <c r="G85">
        <f t="shared" si="6"/>
        <v>0.37447649013955331</v>
      </c>
      <c r="H85">
        <f t="shared" si="7"/>
        <v>0.37494878968419815</v>
      </c>
    </row>
    <row r="86" spans="1:8" x14ac:dyDescent="0.4">
      <c r="A86">
        <v>85</v>
      </c>
      <c r="B86">
        <v>0.35445581785286034</v>
      </c>
      <c r="C86">
        <v>20.570671378091877</v>
      </c>
      <c r="D86">
        <v>1.5252069481305761</v>
      </c>
      <c r="E86">
        <f t="shared" si="4"/>
        <v>0.42445020825261282</v>
      </c>
      <c r="F86" s="2">
        <f t="shared" si="5"/>
        <v>0.35235920296035994</v>
      </c>
      <c r="G86">
        <f t="shared" si="6"/>
        <v>0.36398331488980429</v>
      </c>
      <c r="H86">
        <f t="shared" si="7"/>
        <v>0.36829606194192249</v>
      </c>
    </row>
    <row r="87" spans="1:8" x14ac:dyDescent="0.4">
      <c r="A87">
        <v>86</v>
      </c>
      <c r="B87">
        <v>0.31398137141221494</v>
      </c>
      <c r="C87">
        <v>17.856451612903225</v>
      </c>
      <c r="D87">
        <v>1.4700177008316964</v>
      </c>
      <c r="E87">
        <f t="shared" si="4"/>
        <v>0.44527633930879384</v>
      </c>
      <c r="F87" s="2">
        <f t="shared" si="5"/>
        <v>0.31752170897216148</v>
      </c>
      <c r="G87">
        <f t="shared" si="6"/>
        <v>0.33247244821602334</v>
      </c>
      <c r="H87">
        <f t="shared" si="7"/>
        <v>0.34900049870456501</v>
      </c>
    </row>
    <row r="88" spans="1:8" x14ac:dyDescent="0.4">
      <c r="A88">
        <v>87</v>
      </c>
      <c r="B88">
        <v>0.33933714177800817</v>
      </c>
      <c r="C88">
        <v>19.570698466780239</v>
      </c>
      <c r="D88">
        <v>1.1795371293684482</v>
      </c>
      <c r="E88">
        <f t="shared" si="4"/>
        <v>0.55489164929492518</v>
      </c>
      <c r="F88" s="2">
        <f t="shared" si="5"/>
        <v>0.340039677289113</v>
      </c>
      <c r="G88">
        <f t="shared" si="6"/>
        <v>0.35280075453129434</v>
      </c>
      <c r="H88">
        <f t="shared" si="7"/>
        <v>0.36134444426767026</v>
      </c>
    </row>
    <row r="89" spans="1:8" x14ac:dyDescent="0.4">
      <c r="A89">
        <v>88</v>
      </c>
      <c r="B89">
        <v>0.45011485689451824</v>
      </c>
      <c r="C89">
        <v>28.422705314009661</v>
      </c>
      <c r="D89">
        <v>1.4750294245560462</v>
      </c>
      <c r="E89">
        <f t="shared" si="4"/>
        <v>0.44338512280903919</v>
      </c>
      <c r="F89" s="2">
        <f t="shared" si="5"/>
        <v>0.4313589339926604</v>
      </c>
      <c r="G89">
        <f t="shared" si="6"/>
        <v>0.4358950271923917</v>
      </c>
      <c r="H89">
        <f t="shared" si="7"/>
        <v>0.41786179543513341</v>
      </c>
    </row>
    <row r="90" spans="1:8" x14ac:dyDescent="0.4">
      <c r="A90">
        <v>89</v>
      </c>
      <c r="B90">
        <v>0.4241832956618164</v>
      </c>
      <c r="C90">
        <v>24.943925233644862</v>
      </c>
      <c r="D90">
        <v>1.3668671405139419</v>
      </c>
      <c r="E90">
        <f t="shared" si="4"/>
        <v>0.48420107905134269</v>
      </c>
      <c r="F90" s="2">
        <f t="shared" si="5"/>
        <v>0.39988935398896203</v>
      </c>
      <c r="G90">
        <f t="shared" si="6"/>
        <v>0.40735829400692647</v>
      </c>
      <c r="H90">
        <f t="shared" si="7"/>
        <v>0.39687804212757766</v>
      </c>
    </row>
    <row r="91" spans="1:8" x14ac:dyDescent="0.4">
      <c r="A91">
        <v>90</v>
      </c>
      <c r="B91">
        <v>0.54720075544972879</v>
      </c>
      <c r="C91">
        <v>69.512820512820511</v>
      </c>
      <c r="D91">
        <v>1.2435849216844814</v>
      </c>
      <c r="E91">
        <f t="shared" si="4"/>
        <v>0.53072267106245985</v>
      </c>
      <c r="F91" s="2">
        <f t="shared" si="5"/>
        <v>0.76347584927763412</v>
      </c>
      <c r="G91">
        <f t="shared" si="6"/>
        <v>0.544276877826671</v>
      </c>
      <c r="H91">
        <f t="shared" si="7"/>
        <v>0.60509559024827697</v>
      </c>
    </row>
    <row r="92" spans="1:8" x14ac:dyDescent="0.4">
      <c r="A92">
        <v>91</v>
      </c>
      <c r="B92">
        <v>0.45256000711611627</v>
      </c>
      <c r="C92">
        <v>29.513227513227516</v>
      </c>
      <c r="D92">
        <v>1.161587714914619</v>
      </c>
      <c r="E92">
        <f t="shared" si="4"/>
        <v>0.56166501323976648</v>
      </c>
      <c r="F92" s="2">
        <f t="shared" si="5"/>
        <v>0.44025918848346868</v>
      </c>
      <c r="G92">
        <f t="shared" si="6"/>
        <v>0.44383741802029569</v>
      </c>
      <c r="H92">
        <f t="shared" si="7"/>
        <v>0.42417194693511184</v>
      </c>
    </row>
    <row r="93" spans="1:8" x14ac:dyDescent="0.4">
      <c r="A93">
        <v>92</v>
      </c>
      <c r="B93">
        <v>0.44574718756580523</v>
      </c>
      <c r="C93">
        <v>27.512195121951219</v>
      </c>
      <c r="D93">
        <v>1.5419763731456948</v>
      </c>
      <c r="E93">
        <f t="shared" si="4"/>
        <v>0.41812212334124721</v>
      </c>
      <c r="F93" s="2">
        <f t="shared" si="5"/>
        <v>0.42359519962856018</v>
      </c>
      <c r="G93">
        <f t="shared" si="6"/>
        <v>0.4289057970009113</v>
      </c>
      <c r="H93">
        <f t="shared" si="7"/>
        <v>0.41249990662157698</v>
      </c>
    </row>
    <row r="94" spans="1:8" x14ac:dyDescent="0.4">
      <c r="A94">
        <v>93</v>
      </c>
      <c r="B94">
        <v>0.48041815596295018</v>
      </c>
      <c r="C94">
        <v>36.539473684210527</v>
      </c>
      <c r="D94">
        <v>1.4256032701362933</v>
      </c>
      <c r="E94">
        <f t="shared" si="4"/>
        <v>0.46203650183536105</v>
      </c>
      <c r="F94" s="2">
        <f t="shared" si="5"/>
        <v>0.48940517331676459</v>
      </c>
      <c r="G94">
        <f t="shared" si="6"/>
        <v>0.48479207893876575</v>
      </c>
      <c r="H94">
        <f t="shared" si="7"/>
        <v>0.46230091093587405</v>
      </c>
    </row>
    <row r="95" spans="1:8" x14ac:dyDescent="0.4">
      <c r="A95">
        <v>94</v>
      </c>
      <c r="B95">
        <v>0.45715347766393077</v>
      </c>
      <c r="C95">
        <v>31.909589041095892</v>
      </c>
      <c r="D95">
        <v>1.4803088246347935</v>
      </c>
      <c r="E95">
        <f t="shared" si="4"/>
        <v>0.44139289636422885</v>
      </c>
      <c r="F95" s="2">
        <f t="shared" si="5"/>
        <v>0.45844944848063496</v>
      </c>
      <c r="G95">
        <f t="shared" si="6"/>
        <v>0.45971929039862386</v>
      </c>
      <c r="H95">
        <f t="shared" si="7"/>
        <v>0.43764078693014113</v>
      </c>
    </row>
    <row r="96" spans="1:8" x14ac:dyDescent="0.4">
      <c r="A96">
        <v>95</v>
      </c>
      <c r="B96">
        <v>0.48849085929982927</v>
      </c>
      <c r="C96">
        <v>39.682656826568262</v>
      </c>
      <c r="D96">
        <v>1.308845128353034</v>
      </c>
      <c r="E96">
        <f t="shared" si="4"/>
        <v>0.50609617797998707</v>
      </c>
      <c r="F96" s="2">
        <f t="shared" si="5"/>
        <v>0.50834315441781208</v>
      </c>
      <c r="G96">
        <f t="shared" si="6"/>
        <v>0.49807402852212246</v>
      </c>
      <c r="H96">
        <f t="shared" si="7"/>
        <v>0.47816012129120206</v>
      </c>
    </row>
    <row r="97" spans="1:8" x14ac:dyDescent="0.4">
      <c r="A97">
        <v>96</v>
      </c>
      <c r="B97">
        <v>0.39564572485399913</v>
      </c>
      <c r="C97">
        <v>23.50836820083682</v>
      </c>
      <c r="D97">
        <v>1.0203048217338531</v>
      </c>
      <c r="E97">
        <f t="shared" si="4"/>
        <v>0.61497931255326299</v>
      </c>
      <c r="F97" s="2">
        <f t="shared" si="5"/>
        <v>0.38535499396117767</v>
      </c>
      <c r="G97">
        <f t="shared" si="6"/>
        <v>0.39408090277648339</v>
      </c>
      <c r="H97">
        <f t="shared" si="7"/>
        <v>0.38779417039161823</v>
      </c>
    </row>
    <row r="98" spans="1:8" x14ac:dyDescent="0.4">
      <c r="A98">
        <v>97</v>
      </c>
      <c r="B98">
        <v>0.39367336617982407</v>
      </c>
      <c r="C98">
        <v>23.17960088691796</v>
      </c>
      <c r="D98">
        <v>1.0462439840970914</v>
      </c>
      <c r="E98">
        <f t="shared" si="4"/>
        <v>0.60519094939732399</v>
      </c>
      <c r="F98" s="2">
        <f t="shared" si="5"/>
        <v>0.3818860122165284</v>
      </c>
      <c r="G98">
        <f t="shared" si="6"/>
        <v>0.39091089156404601</v>
      </c>
      <c r="H98">
        <f t="shared" si="7"/>
        <v>0.38567508296255409</v>
      </c>
    </row>
    <row r="99" spans="1:8" x14ac:dyDescent="0.4">
      <c r="A99">
        <v>98</v>
      </c>
      <c r="B99">
        <v>0.35056574299604704</v>
      </c>
      <c r="C99">
        <v>20.096551724137932</v>
      </c>
      <c r="D99">
        <v>1.0013096494462601</v>
      </c>
      <c r="E99">
        <f t="shared" si="4"/>
        <v>0.62214730209575086</v>
      </c>
      <c r="F99" s="2">
        <f t="shared" si="5"/>
        <v>0.34659066108793302</v>
      </c>
      <c r="G99">
        <f t="shared" si="6"/>
        <v>0.358742288412219</v>
      </c>
      <c r="H99">
        <f t="shared" si="7"/>
        <v>0.36502165147567422</v>
      </c>
    </row>
    <row r="100" spans="1:8" x14ac:dyDescent="0.4">
      <c r="A100">
        <v>99</v>
      </c>
      <c r="B100">
        <v>0.39179391344459319</v>
      </c>
      <c r="C100">
        <v>22.8671875</v>
      </c>
      <c r="D100">
        <v>1.0399692231664484</v>
      </c>
      <c r="E100">
        <f t="shared" si="4"/>
        <v>0.60755878371077421</v>
      </c>
      <c r="F100" s="2">
        <f t="shared" si="5"/>
        <v>0.37853932739586826</v>
      </c>
      <c r="G100">
        <f t="shared" si="6"/>
        <v>0.38785313334813165</v>
      </c>
      <c r="H100">
        <f t="shared" si="7"/>
        <v>0.38364743524682599</v>
      </c>
    </row>
    <row r="101" spans="1:8" x14ac:dyDescent="0.4">
      <c r="A101">
        <v>100</v>
      </c>
      <c r="B101">
        <v>0.52180636133400171</v>
      </c>
      <c r="C101">
        <v>47.692307692307693</v>
      </c>
      <c r="D101">
        <v>1.2916640413332492</v>
      </c>
      <c r="E101">
        <f t="shared" si="4"/>
        <v>0.51257960704405692</v>
      </c>
      <c r="F101" s="2">
        <f t="shared" si="5"/>
        <v>0.55506845698680018</v>
      </c>
      <c r="G101">
        <f t="shared" si="6"/>
        <v>0.52094176027119921</v>
      </c>
      <c r="H101">
        <f t="shared" si="7"/>
        <v>0.51593801644702875</v>
      </c>
    </row>
    <row r="102" spans="1:8" x14ac:dyDescent="0.4">
      <c r="A102">
        <v>101</v>
      </c>
      <c r="B102">
        <v>0.52729376501116254</v>
      </c>
      <c r="C102">
        <v>53.935323383084572</v>
      </c>
      <c r="D102">
        <v>1.2845043074236466</v>
      </c>
      <c r="E102">
        <f t="shared" si="4"/>
        <v>0.51528139342503898</v>
      </c>
      <c r="F102" s="2">
        <f t="shared" si="5"/>
        <v>0.59661614441225475</v>
      </c>
      <c r="G102">
        <f t="shared" si="6"/>
        <v>0.53078971320719848</v>
      </c>
      <c r="H102">
        <f t="shared" si="7"/>
        <v>0.54322488620863363</v>
      </c>
    </row>
    <row r="103" spans="1:8" x14ac:dyDescent="0.4">
      <c r="A103">
        <v>102</v>
      </c>
      <c r="B103">
        <v>0.46338217330797143</v>
      </c>
      <c r="C103">
        <v>32.471471471471475</v>
      </c>
      <c r="D103">
        <v>1.212430207543181</v>
      </c>
      <c r="E103">
        <f t="shared" si="4"/>
        <v>0.54247916696483733</v>
      </c>
      <c r="F103" s="2">
        <f t="shared" si="5"/>
        <v>0.46247147381608</v>
      </c>
      <c r="G103">
        <f t="shared" si="6"/>
        <v>0.46314349954440442</v>
      </c>
      <c r="H103">
        <f t="shared" si="7"/>
        <v>0.44072490194212965</v>
      </c>
    </row>
    <row r="104" spans="1:8" x14ac:dyDescent="0.4">
      <c r="A104">
        <v>103</v>
      </c>
      <c r="B104">
        <v>0.43870530500608107</v>
      </c>
      <c r="C104">
        <v>26.379069767441862</v>
      </c>
      <c r="D104">
        <v>1.4568423271994657</v>
      </c>
      <c r="E104">
        <f t="shared" si="4"/>
        <v>0.45024817841529596</v>
      </c>
      <c r="F104" s="2">
        <f t="shared" si="5"/>
        <v>0.41347927937301238</v>
      </c>
      <c r="G104">
        <f t="shared" si="6"/>
        <v>0.41973899047436036</v>
      </c>
      <c r="H104">
        <f t="shared" si="7"/>
        <v>0.40570156766793131</v>
      </c>
    </row>
    <row r="105" spans="1:8" x14ac:dyDescent="0.4">
      <c r="A105">
        <v>104</v>
      </c>
      <c r="B105">
        <v>0.41779758005673107</v>
      </c>
      <c r="C105">
        <v>24.501075268817203</v>
      </c>
      <c r="D105">
        <v>1.5591668929139355</v>
      </c>
      <c r="E105">
        <f t="shared" si="4"/>
        <v>0.41163513474945823</v>
      </c>
      <c r="F105" s="2">
        <f t="shared" si="5"/>
        <v>0.39550958263273733</v>
      </c>
      <c r="G105">
        <f t="shared" si="6"/>
        <v>0.40335925309877507</v>
      </c>
      <c r="H105">
        <f t="shared" si="7"/>
        <v>0.39410434001251926</v>
      </c>
    </row>
    <row r="106" spans="1:8" x14ac:dyDescent="0.4">
      <c r="A106">
        <v>105</v>
      </c>
      <c r="B106">
        <v>0.47953247130926246</v>
      </c>
      <c r="C106">
        <v>35.132743362831853</v>
      </c>
      <c r="D106">
        <v>1.4280848542055191</v>
      </c>
      <c r="E106">
        <f t="shared" si="4"/>
        <v>0.46110005501678519</v>
      </c>
      <c r="F106" s="2">
        <f t="shared" si="5"/>
        <v>0.48047393812586758</v>
      </c>
      <c r="G106">
        <f t="shared" si="6"/>
        <v>0.47790749044777853</v>
      </c>
      <c r="H106">
        <f t="shared" si="7"/>
        <v>0.45498250683624464</v>
      </c>
    </row>
    <row r="107" spans="1:8" x14ac:dyDescent="0.4">
      <c r="A107">
        <v>106</v>
      </c>
      <c r="B107">
        <v>0.45612114577631818</v>
      </c>
      <c r="C107">
        <v>31.128686327077752</v>
      </c>
      <c r="D107">
        <v>1.2936531386780858</v>
      </c>
      <c r="E107">
        <f t="shared" si="4"/>
        <v>0.5118290042724204</v>
      </c>
      <c r="F107" s="2">
        <f t="shared" si="5"/>
        <v>0.45271357200742596</v>
      </c>
      <c r="G107">
        <f t="shared" si="6"/>
        <v>0.4547745300938193</v>
      </c>
      <c r="H107">
        <f t="shared" si="7"/>
        <v>0.4333090393349609</v>
      </c>
    </row>
    <row r="108" spans="1:8" x14ac:dyDescent="0.4">
      <c r="A108">
        <v>107</v>
      </c>
      <c r="B108">
        <v>0.43924894287421079</v>
      </c>
      <c r="C108">
        <v>26.589622641509433</v>
      </c>
      <c r="D108">
        <v>1.4986119292477111</v>
      </c>
      <c r="E108">
        <f t="shared" si="4"/>
        <v>0.43448606443482596</v>
      </c>
      <c r="F108" s="2">
        <f t="shared" si="5"/>
        <v>0.41539859357136044</v>
      </c>
      <c r="G108">
        <f t="shared" si="6"/>
        <v>0.42148233121581202</v>
      </c>
      <c r="H108">
        <f t="shared" si="7"/>
        <v>0.4069756938696763</v>
      </c>
    </row>
    <row r="109" spans="1:8" x14ac:dyDescent="0.4">
      <c r="A109">
        <v>108</v>
      </c>
      <c r="B109">
        <v>0.34046332617866931</v>
      </c>
      <c r="C109">
        <v>19.639285714285712</v>
      </c>
      <c r="D109">
        <v>1.2859510640054359</v>
      </c>
      <c r="E109">
        <f t="shared" si="4"/>
        <v>0.51473544754511846</v>
      </c>
      <c r="F109" s="2">
        <f t="shared" si="5"/>
        <v>0.34090337609082083</v>
      </c>
      <c r="G109">
        <f t="shared" si="6"/>
        <v>0.35358343899910372</v>
      </c>
      <c r="H109">
        <f t="shared" si="7"/>
        <v>0.36182684198943676</v>
      </c>
    </row>
    <row r="110" spans="1:8" x14ac:dyDescent="0.4">
      <c r="A110">
        <v>109</v>
      </c>
      <c r="B110">
        <v>0.4239986308698756</v>
      </c>
      <c r="C110">
        <v>24.747276688453159</v>
      </c>
      <c r="D110">
        <v>1.5241484209511307</v>
      </c>
      <c r="E110">
        <f t="shared" si="4"/>
        <v>0.42484965247127138</v>
      </c>
      <c r="F110" s="2">
        <f t="shared" si="5"/>
        <v>0.39795568904992384</v>
      </c>
      <c r="G110">
        <f t="shared" si="6"/>
        <v>0.40559306262456735</v>
      </c>
      <c r="H110">
        <f t="shared" si="7"/>
        <v>0.39564943825923932</v>
      </c>
    </row>
    <row r="111" spans="1:8" x14ac:dyDescent="0.4">
      <c r="A111">
        <v>110</v>
      </c>
      <c r="B111">
        <v>0.35562953995157354</v>
      </c>
      <c r="C111">
        <v>20.5778175313059</v>
      </c>
      <c r="D111">
        <v>1.0080775235809494</v>
      </c>
      <c r="E111">
        <f t="shared" si="4"/>
        <v>0.61959338732794356</v>
      </c>
      <c r="F111" s="2">
        <f t="shared" si="5"/>
        <v>0.35244516328813091</v>
      </c>
      <c r="G111">
        <f t="shared" si="6"/>
        <v>0.36406147540637335</v>
      </c>
      <c r="H111">
        <f t="shared" si="7"/>
        <v>0.36834512509108674</v>
      </c>
    </row>
    <row r="112" spans="1:8" x14ac:dyDescent="0.4">
      <c r="A112">
        <v>111</v>
      </c>
      <c r="B112">
        <v>0.48022841409659578</v>
      </c>
      <c r="C112">
        <v>35.996753246753244</v>
      </c>
      <c r="D112">
        <v>1.3824514878448326</v>
      </c>
      <c r="E112">
        <f t="shared" si="4"/>
        <v>0.47832019326610087</v>
      </c>
      <c r="F112" s="2">
        <f t="shared" si="5"/>
        <v>0.48600028481179414</v>
      </c>
      <c r="G112">
        <f t="shared" si="6"/>
        <v>0.48220817530205268</v>
      </c>
      <c r="H112">
        <f t="shared" si="7"/>
        <v>0.45949443207206375</v>
      </c>
    </row>
    <row r="113" spans="1:8" x14ac:dyDescent="0.4">
      <c r="A113">
        <v>112</v>
      </c>
      <c r="B113">
        <v>0.48901611417577451</v>
      </c>
      <c r="C113">
        <v>40.567567567567565</v>
      </c>
      <c r="D113">
        <v>1.4190413993884388</v>
      </c>
      <c r="E113">
        <f t="shared" si="4"/>
        <v>0.46451267947606079</v>
      </c>
      <c r="F113" s="2">
        <f t="shared" si="5"/>
        <v>0.51350442825301545</v>
      </c>
      <c r="G113">
        <f t="shared" si="6"/>
        <v>0.50132673486183943</v>
      </c>
      <c r="H113">
        <f t="shared" si="7"/>
        <v>0.48251065943896665</v>
      </c>
    </row>
    <row r="114" spans="1:8" x14ac:dyDescent="0.4">
      <c r="A114">
        <v>113</v>
      </c>
      <c r="B114">
        <v>0.32519479168021637</v>
      </c>
      <c r="C114">
        <v>18.120578778135048</v>
      </c>
      <c r="D114">
        <v>1.5559926563102575</v>
      </c>
      <c r="E114">
        <f t="shared" si="4"/>
        <v>0.41283295988292168</v>
      </c>
      <c r="F114" s="2">
        <f t="shared" si="5"/>
        <v>0.32111039854297202</v>
      </c>
      <c r="G114">
        <f t="shared" si="6"/>
        <v>0.33570171509550273</v>
      </c>
      <c r="H114">
        <f t="shared" si="7"/>
        <v>0.35093988079579386</v>
      </c>
    </row>
    <row r="115" spans="1:8" x14ac:dyDescent="0.4">
      <c r="A115">
        <v>114</v>
      </c>
      <c r="B115">
        <v>0.41267231015516453</v>
      </c>
      <c r="C115">
        <v>24.443478260869565</v>
      </c>
      <c r="D115">
        <v>1.5463420850596934</v>
      </c>
      <c r="E115">
        <f t="shared" si="4"/>
        <v>0.41647468488313455</v>
      </c>
      <c r="F115" s="2">
        <f t="shared" si="5"/>
        <v>0.39493325486532416</v>
      </c>
      <c r="G115">
        <f t="shared" si="6"/>
        <v>0.40283283947275639</v>
      </c>
      <c r="H115">
        <f t="shared" si="7"/>
        <v>0.39374175666526523</v>
      </c>
    </row>
    <row r="116" spans="1:8" x14ac:dyDescent="0.4">
      <c r="A116">
        <v>115</v>
      </c>
      <c r="B116">
        <v>0.36099646812843211</v>
      </c>
      <c r="C116">
        <v>22.07456978967495</v>
      </c>
      <c r="D116">
        <v>1.5338951905767444</v>
      </c>
      <c r="E116">
        <f t="shared" si="4"/>
        <v>0.42117162619745496</v>
      </c>
      <c r="F116" s="2">
        <f t="shared" si="5"/>
        <v>0.36982335442424302</v>
      </c>
      <c r="G116">
        <f t="shared" si="6"/>
        <v>0.37989429906860916</v>
      </c>
      <c r="H116">
        <f t="shared" si="7"/>
        <v>0.37844009835035719</v>
      </c>
    </row>
    <row r="117" spans="1:8" x14ac:dyDescent="0.4">
      <c r="A117">
        <v>116</v>
      </c>
      <c r="B117">
        <v>0.49402093519574525</v>
      </c>
      <c r="C117">
        <v>41.462121212121211</v>
      </c>
      <c r="D117">
        <v>1.4520302022282066</v>
      </c>
      <c r="E117">
        <f t="shared" si="4"/>
        <v>0.4520640746308654</v>
      </c>
      <c r="F117" s="2">
        <f t="shared" si="5"/>
        <v>0.51867954332977673</v>
      </c>
      <c r="G117">
        <f t="shared" si="6"/>
        <v>0.50441255933526763</v>
      </c>
      <c r="H117">
        <f t="shared" si="7"/>
        <v>0.48686064038788468</v>
      </c>
    </row>
    <row r="118" spans="1:8" x14ac:dyDescent="0.4">
      <c r="A118">
        <v>117</v>
      </c>
      <c r="B118">
        <v>0.51260557413331931</v>
      </c>
      <c r="C118">
        <v>43.238461538461543</v>
      </c>
      <c r="D118">
        <v>1.3890160399784073</v>
      </c>
      <c r="E118">
        <f t="shared" si="4"/>
        <v>0.47584300378173305</v>
      </c>
      <c r="F118" s="2">
        <f t="shared" si="5"/>
        <v>0.52890208018311335</v>
      </c>
      <c r="G118">
        <f t="shared" si="6"/>
        <v>0.50996938624943389</v>
      </c>
      <c r="H118">
        <f t="shared" si="7"/>
        <v>0.4953615793478377</v>
      </c>
    </row>
    <row r="119" spans="1:8" x14ac:dyDescent="0.4">
      <c r="A119">
        <v>118</v>
      </c>
      <c r="B119">
        <v>0.49438102757465541</v>
      </c>
      <c r="C119">
        <v>41.798479087452471</v>
      </c>
      <c r="D119">
        <v>1.2004303080950554</v>
      </c>
      <c r="E119">
        <f t="shared" si="4"/>
        <v>0.54700743090752635</v>
      </c>
      <c r="F119" s="2">
        <f t="shared" si="5"/>
        <v>0.52061815803740619</v>
      </c>
      <c r="G119">
        <f t="shared" si="6"/>
        <v>0.5055218994061208</v>
      </c>
      <c r="H119">
        <f t="shared" si="7"/>
        <v>0.48848410474687187</v>
      </c>
    </row>
    <row r="120" spans="1:8" x14ac:dyDescent="0.4">
      <c r="A120">
        <v>119</v>
      </c>
      <c r="B120">
        <v>0.39458186978202675</v>
      </c>
      <c r="C120">
        <v>23.467505241090148</v>
      </c>
      <c r="D120">
        <v>1.4675914531142744</v>
      </c>
      <c r="E120">
        <f t="shared" si="4"/>
        <v>0.44619190448517942</v>
      </c>
      <c r="F120" s="2">
        <f t="shared" si="5"/>
        <v>0.38492675078404492</v>
      </c>
      <c r="G120">
        <f t="shared" si="6"/>
        <v>0.39368955239931214</v>
      </c>
      <c r="H120">
        <f t="shared" si="7"/>
        <v>0.38753159593821834</v>
      </c>
    </row>
    <row r="121" spans="1:8" x14ac:dyDescent="0.4">
      <c r="A121">
        <v>120</v>
      </c>
      <c r="B121">
        <v>0.30183614649301521</v>
      </c>
      <c r="C121">
        <v>16.311740890688259</v>
      </c>
      <c r="D121">
        <v>1.4373195462837929</v>
      </c>
      <c r="E121">
        <f t="shared" si="4"/>
        <v>0.45761526555328569</v>
      </c>
      <c r="F121" s="2">
        <f t="shared" si="5"/>
        <v>0.29562522585422624</v>
      </c>
      <c r="G121">
        <f t="shared" si="6"/>
        <v>0.31286056380444238</v>
      </c>
      <c r="H121">
        <f t="shared" si="7"/>
        <v>0.33735904436340353</v>
      </c>
    </row>
    <row r="122" spans="1:8" x14ac:dyDescent="0.4">
      <c r="A122">
        <v>121</v>
      </c>
      <c r="B122">
        <v>0.52641858364409821</v>
      </c>
      <c r="C122">
        <v>52.311320754716981</v>
      </c>
      <c r="D122">
        <v>1.2848143851680436</v>
      </c>
      <c r="E122">
        <f t="shared" si="4"/>
        <v>0.5151643829554553</v>
      </c>
      <c r="F122" s="2">
        <f t="shared" si="5"/>
        <v>0.5849686226612405</v>
      </c>
      <c r="G122">
        <f t="shared" si="6"/>
        <v>0.52871926209174014</v>
      </c>
      <c r="H122">
        <f t="shared" si="7"/>
        <v>0.53628580703548889</v>
      </c>
    </row>
    <row r="123" spans="1:8" x14ac:dyDescent="0.4">
      <c r="A123">
        <v>122</v>
      </c>
      <c r="B123">
        <v>0.3983967911769391</v>
      </c>
      <c r="C123">
        <v>23.807692307692307</v>
      </c>
      <c r="D123">
        <v>1.2411726298116128</v>
      </c>
      <c r="E123">
        <f t="shared" si="4"/>
        <v>0.53163296988241027</v>
      </c>
      <c r="F123" s="2">
        <f t="shared" si="5"/>
        <v>0.38846689427059622</v>
      </c>
      <c r="G123">
        <f t="shared" si="6"/>
        <v>0.39692471608615837</v>
      </c>
      <c r="H123">
        <f t="shared" si="7"/>
        <v>0.38971062977611964</v>
      </c>
    </row>
    <row r="124" spans="1:8" x14ac:dyDescent="0.4">
      <c r="A124">
        <v>123</v>
      </c>
      <c r="B124">
        <v>0.45255112714906154</v>
      </c>
      <c r="C124">
        <v>28.612903225806452</v>
      </c>
      <c r="D124">
        <v>1.4566029915922467</v>
      </c>
      <c r="E124">
        <f t="shared" si="4"/>
        <v>0.45033849373877477</v>
      </c>
      <c r="F124" s="2">
        <f t="shared" si="5"/>
        <v>0.43294168013494005</v>
      </c>
      <c r="G124">
        <f t="shared" si="6"/>
        <v>0.43731353527770028</v>
      </c>
      <c r="H124">
        <f t="shared" si="7"/>
        <v>0.41897095326525247</v>
      </c>
    </row>
    <row r="125" spans="1:8" x14ac:dyDescent="0.4">
      <c r="A125">
        <v>124</v>
      </c>
      <c r="B125">
        <v>0.46812905381755648</v>
      </c>
      <c r="C125">
        <v>33.271386430678461</v>
      </c>
      <c r="D125">
        <v>1.4354382243864479</v>
      </c>
      <c r="E125">
        <f t="shared" si="4"/>
        <v>0.45832519834473662</v>
      </c>
      <c r="F125" s="2">
        <f t="shared" si="5"/>
        <v>0.46805565123748849</v>
      </c>
      <c r="G125">
        <f t="shared" si="6"/>
        <v>0.46782976034389878</v>
      </c>
      <c r="H125">
        <f t="shared" si="7"/>
        <v>0.44506988019725918</v>
      </c>
    </row>
    <row r="126" spans="1:8" x14ac:dyDescent="0.4">
      <c r="A126">
        <v>125</v>
      </c>
      <c r="B126">
        <v>0.34713707926247422</v>
      </c>
      <c r="C126">
        <v>19.878472222222221</v>
      </c>
      <c r="D126">
        <v>1.3834815312734492</v>
      </c>
      <c r="E126">
        <f t="shared" si="4"/>
        <v>0.47793149763266063</v>
      </c>
      <c r="F126" s="2">
        <f t="shared" si="5"/>
        <v>0.34389359640061279</v>
      </c>
      <c r="G126">
        <f t="shared" si="6"/>
        <v>0.3562947498698944</v>
      </c>
      <c r="H126">
        <f t="shared" si="7"/>
        <v>0.36350256625989069</v>
      </c>
    </row>
  </sheetData>
  <sortState xmlns:xlrd2="http://schemas.microsoft.com/office/spreadsheetml/2017/richdata2" ref="A2:D127">
    <sortCondition ref="A1:A12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 X</dc:creator>
  <cp:lastModifiedBy>mj X</cp:lastModifiedBy>
  <dcterms:created xsi:type="dcterms:W3CDTF">2025-09-23T12:44:45Z</dcterms:created>
  <dcterms:modified xsi:type="dcterms:W3CDTF">2025-10-29T05:43:42Z</dcterms:modified>
</cp:coreProperties>
</file>